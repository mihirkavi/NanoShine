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noPik Five Year NI Statement" sheetId="1" r:id="rId4"/>
    <sheet state="visible" name="Key Assumptions" sheetId="2" r:id="rId5"/>
    <sheet state="visible" name="Graph table" sheetId="3" r:id="rId6"/>
    <sheet state="visible" name="Sample" sheetId="4" r:id="rId7"/>
  </sheets>
  <definedNames/>
  <calcPr/>
  <extLst>
    <ext uri="GoogleSheetsCustomDataVersion1">
      <go:sheetsCustomData xmlns:go="http://customooxmlschemas.google.com/" r:id="rId8" roundtripDataSignature="AMtx7mj5oAEyUI8Sylxq4EC8VVN0WX/Ufg=="/>
    </ext>
  </extLst>
</workbook>
</file>

<file path=xl/sharedStrings.xml><?xml version="1.0" encoding="utf-8"?>
<sst xmlns="http://schemas.openxmlformats.org/spreadsheetml/2006/main" count="196" uniqueCount="105">
  <si>
    <t>NanoShine Consolidated Statement of Comprehensive Income</t>
  </si>
  <si>
    <t>(dollars)</t>
  </si>
  <si>
    <t>Years ended December 31,</t>
  </si>
  <si>
    <t>Income Statement</t>
  </si>
  <si>
    <t>Year</t>
  </si>
  <si>
    <t>Gross Sales</t>
  </si>
  <si>
    <t>Customer/Unit Totals</t>
  </si>
  <si>
    <t>% TAM (US)</t>
  </si>
  <si>
    <t>TAM (US)</t>
  </si>
  <si>
    <t xml:space="preserve">     Revenue - Target Market One</t>
  </si>
  <si>
    <t>Total Target Market One</t>
  </si>
  <si>
    <t xml:space="preserve">     Revenue - Target Market Two</t>
  </si>
  <si>
    <t>Total Units Sold - Target Market One</t>
  </si>
  <si>
    <t xml:space="preserve">     Revenue - Target Market Three</t>
  </si>
  <si>
    <t>Total Target Market Two</t>
  </si>
  <si>
    <t>Total Cost of goods sold</t>
  </si>
  <si>
    <t>Total Units Sold - Target Market Two</t>
  </si>
  <si>
    <t xml:space="preserve">     Cost of Goods Sold - Target Market One</t>
  </si>
  <si>
    <t>Total Target Market Three</t>
  </si>
  <si>
    <t xml:space="preserve">     Cost of Goods Sold - Target Market Two</t>
  </si>
  <si>
    <t>Total Units Sold - Target Market Three</t>
  </si>
  <si>
    <t xml:space="preserve">     Cost of Goods Sold - Target Market Three</t>
  </si>
  <si>
    <t>Total Units Sold</t>
  </si>
  <si>
    <t xml:space="preserve">     Gross Profit</t>
  </si>
  <si>
    <t xml:space="preserve">     Gross Margins</t>
  </si>
  <si>
    <t>Setup Expenses</t>
  </si>
  <si>
    <t>Research and Development</t>
  </si>
  <si>
    <t>Selling, General and Administrative Expense</t>
  </si>
  <si>
    <t>Other Revenue (Expenses)</t>
  </si>
  <si>
    <t xml:space="preserve">     Royalty Payments</t>
  </si>
  <si>
    <t xml:space="preserve">     Commission</t>
  </si>
  <si>
    <t>Trials</t>
  </si>
  <si>
    <t>EBITDA</t>
  </si>
  <si>
    <t>Depreciation and Amortization</t>
  </si>
  <si>
    <t>EBIT</t>
  </si>
  <si>
    <t>Interest Exp</t>
  </si>
  <si>
    <t>Pre-Tax Income</t>
  </si>
  <si>
    <t>Taxes</t>
  </si>
  <si>
    <t>Net Income</t>
  </si>
  <si>
    <t>Unit Price</t>
  </si>
  <si>
    <t>Unit Cost</t>
  </si>
  <si>
    <t>Total No. of Units Sold per year</t>
  </si>
  <si>
    <t xml:space="preserve">Research and Development </t>
  </si>
  <si>
    <t>Selling, General and Administrative</t>
  </si>
  <si>
    <t>Revenue Assumptions</t>
  </si>
  <si>
    <t xml:space="preserve">     Category</t>
  </si>
  <si>
    <t>Total Penetration - WaterPik</t>
  </si>
  <si>
    <t>Growth Rate</t>
  </si>
  <si>
    <t>Unit Price - Target Market One</t>
  </si>
  <si>
    <t>Unit Price Growth Rate</t>
  </si>
  <si>
    <t>Unit Cost - Target Market One</t>
  </si>
  <si>
    <t>Unit Cost Growth Rate</t>
  </si>
  <si>
    <t>Unit Gross Margins - Target Market One</t>
  </si>
  <si>
    <t>Devices Sold - Target Market One</t>
  </si>
  <si>
    <t>Avg Devices Sold Per Target Market One</t>
  </si>
  <si>
    <t>Number of Customers - Target Market One</t>
  </si>
  <si>
    <t>Cumulative Target Market One</t>
  </si>
  <si>
    <t>Total Penetration -Dentists &amp; Hygienists</t>
  </si>
  <si>
    <t>Unit Price - Target Market Two</t>
  </si>
  <si>
    <t>Unit Cost - Target Market Two</t>
  </si>
  <si>
    <t>Unit Gross Margins - Target Market Two</t>
  </si>
  <si>
    <t>Devices Sold - Target Market Two</t>
  </si>
  <si>
    <t>Avg Devices Sold per Target Market Two</t>
  </si>
  <si>
    <t>Number of Customers - Target Market Two</t>
  </si>
  <si>
    <t>Cumulative Target Market Two</t>
  </si>
  <si>
    <t>Total Penetration - Target Market Three</t>
  </si>
  <si>
    <t>Unit Price - Target Market Three</t>
  </si>
  <si>
    <t>Unit Cost - Target Market Three</t>
  </si>
  <si>
    <t>Unit Gross Margins - Target Market Three</t>
  </si>
  <si>
    <t>Devices Sold - Target Market Three</t>
  </si>
  <si>
    <t>Avg Devices Sold per Target Market Three</t>
  </si>
  <si>
    <t>Number of Customers - Target Market Three</t>
  </si>
  <si>
    <t>Cumulative Target Market Three</t>
  </si>
  <si>
    <t>Latest F/S can be found for waterpik before it was acquired was for 2003, 2004, 2005. The profit margin was around 30%. WaterPik's parent company has a profit margin of around 42% in 2022. Since we position the NanoPik as a premium product offering a better oral hygiene solution, we expect a slightly higher margin (in the higher 40%).</t>
  </si>
  <si>
    <t>Latest F/S can be found for waterpik before it was acquired was for 2003, 2004, 2005. The comparative R&amp;D percentages were 1.762%, 1.938%, 2.166%). Three year average of R&amp;D investment is 2.955%</t>
  </si>
  <si>
    <t xml:space="preserve">https://www.sec.gov/Archives/edgar/vprr/0602/06025941.pdf </t>
  </si>
  <si>
    <t>Latest F/S can be found for waterpik before it was acquired was for 2003, 2004, 2005. The comparative SG&amp;A percentages were 20.5%, 21.77%, 22.84%). Three year average of R&amp;D investment is 21.7%</t>
  </si>
  <si>
    <t xml:space="preserve">The primary depreciable asset would be the patent for the nanopik technology. We have referred one of Waterpik's key competitors, Philips Sonicare, for a depreciation and amortization percentage, which is 3%. </t>
  </si>
  <si>
    <t>file:///Users/wangmandi/Downloads/PhilipsFullAnnualReport2022-English.pdf</t>
  </si>
  <si>
    <t>page 32</t>
  </si>
  <si>
    <t xml:space="preserve">Third party normally charges a commision ranging between 15% to 30%. We take the average and say we will give WaterPik 22.5% of the revenue. </t>
  </si>
  <si>
    <t>https://backofhouse.io/stories/tips-navigate-negotiate-restaurant-contracts-third-party-food-delivery-platforms-commission-rates</t>
  </si>
  <si>
    <t>Latest F/S can be found for waterpik before it was acquired was for 2003, 2004, 2005. The comparative interest expense percentages were 0.48%, 0.55%, 0.77%). Three year average of R&amp;D investment is 0.6%</t>
  </si>
  <si>
    <t>In the first year, the set up cost is mainly comprised of the patent cost. The average cost to obtain a patent is between $15,000 to $20,000. We took the average of that and concludes that our setup cost is $17,500. We do not think we will incur any costs to start production because WaterPik can provide us with the production capacity. We recognize that the first year SG&amp;A costs would be high as we are negotiating the partnership deal with WaterPik. We estimate that it would be twice the SG&amp;A cost in year 2.</t>
  </si>
  <si>
    <t>https://www.bitlaw.com/guidance/patent/what-does-a-patent-application-cost.html</t>
  </si>
  <si>
    <t xml:space="preserve">Our secondary market would be the dentists and hygienists, who will recommend NanoPik to patients during their visits. We think it only makes sense to enter this market after the cost of production decreases with economies of scale. There are currently 207190 active hygienists in the United States. We estimate that 1% of them are KOLs. We plan to reach half of them in year3, which is 0.05% of the total US hygienists. </t>
  </si>
  <si>
    <t xml:space="preserve">https://www.bls.gov/oes/current/oes291292.htm </t>
  </si>
  <si>
    <t xml:space="preserve">We used the most conservative estimate, presuming that each KOL would talk one hygienist/dentist into recommending NanoPik each year. </t>
  </si>
  <si>
    <t>On average, each dentist/hygienist treats around 3500 patients each year. Dentist referral success rate is around 30%. Given that NanoPik is a relatively new product, the referral success rate would be lower than mature oral hygiene products. That means each KOL can convince 700 patients to try the NanoPik product.</t>
  </si>
  <si>
    <t xml:space="preserve">https://www.statista.com/statistics/965365/patient-visits-among-all-dentists-us-per-year/ </t>
  </si>
  <si>
    <t>https://pubmed.ncbi.nlm.nih.gov/33210783/</t>
  </si>
  <si>
    <t>We referenced to a typical mouthwash company since we are only producing the solution. According to IBIS, COGS for mouthwash manugacturers is around 50%. For a 1L mouthwash product (such as Listerine), the production cost would be $9*50%=$4.5. Our Nanoparticle would only account for 10% of the 1L solution, which would cost $4.5*10%=0.45 to produce. Each customer woule need 12 of those 1L solutions each year, which means the production cost is around $0.45*12=$5.4</t>
  </si>
  <si>
    <t>According to Factset, the estimated revenue for WaterPik was $198.5 million. It's also a reasonable amount given that WaterPik had 70% of its revenue relates to water flosser market in 2017 (before it was acquired by Church &amp; Dwlight), which is around $185.5 million. On average, a WaterPik product costs $100. We estimate that 1.985 million units of water flosser are sold.  WaterPik had around 1.985 million water flosser customers in 2022.</t>
  </si>
  <si>
    <t>https://my-ibisworld-com.libproxy2.usc.edu/us/en/industry-specialized/od6033/key-statistics</t>
  </si>
  <si>
    <t>https://www.businesswire.com/news/home/20170717005482/en/Church-Dwight-to-Acquire-Waterpik-for-Approximately-1-Billion</t>
  </si>
  <si>
    <t>On average, consumer products have a penetration rate of 2%-6%. We think that we are targeting a very small and niched market, and we are partnering directly with WaterPik to advertise our product, we can ultimately achieve a higher penetration rate of 10%.</t>
  </si>
  <si>
    <t>https://gocardless.com/en-us/guides/posts/market-penetration/#:~:text=market%20penetration%205%25.-,What%20is%20a%20good%20rate%20of%20market%20penetration%3F,already%20doing%20better%20than%20most</t>
  </si>
  <si>
    <t>A 1.5 L of LIsterine mouthwash can last around a month. Based on that we estimate that customers would purchase 12 bottles of 1.5 L solution containing nanoparticles each year.</t>
  </si>
  <si>
    <t>https://www.quora.com/Does-a-1-5-liter-Listerine-mouthwash-last-for-about-2-months-if-used-every-day</t>
  </si>
  <si>
    <t xml:space="preserve">In our interviews, we found out that most people visit dentists once per year. </t>
  </si>
  <si>
    <t>The TAM for market 2 would be the US population, which is around 331 million people.</t>
  </si>
  <si>
    <t>Sample Income Statement for Sale of Product One</t>
  </si>
  <si>
    <t>Note: All numbers are for demonstration only and do not reflect the actual market, sales price, cost of goods sold, or other inputs or %</t>
  </si>
  <si>
    <t>Total Penetration - Target Market One</t>
  </si>
  <si>
    <t>Total Penetration - Target Market Two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</si>
</sst>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quot;$&quot;* #,##0_);_(&quot;$&quot;* \(#,##0\);_(&quot;$&quot;* &quot;-&quot;??_);_(@_)"/>
    <numFmt numFmtId="165" formatCode="_(* #,##0_);_(* \(#,##0\);_(* &quot;-&quot;??_);_(@_)"/>
    <numFmt numFmtId="166" formatCode="0.0%"/>
    <numFmt numFmtId="167" formatCode="_(&quot;$&quot;* #,##0.0_);_(&quot;$&quot;* \(#,##0.0\);_(&quot;$&quot;* &quot;-&quot;?_);_(@_)"/>
    <numFmt numFmtId="168" formatCode="_(* #,##0.00_);_(* \(#,##0.00\);_(* &quot;-&quot;??_);_(@_)"/>
    <numFmt numFmtId="169" formatCode="_(&quot;$&quot;* #,##0.00_);_(&quot;$&quot;* \(#,##0.00\);_(&quot;$&quot;* &quot;-&quot;??_);_(@_)"/>
    <numFmt numFmtId="170" formatCode="_(&quot;$&quot;* #,##0.0_);_(&quot;$&quot;* \(#,##0.0\);_(&quot;$&quot;* &quot;-&quot;??.0_);_(@_)"/>
  </numFmts>
  <fonts count="13">
    <font>
      <sz val="11.0"/>
      <color theme="1"/>
      <name val="Calibri"/>
      <scheme val="minor"/>
    </font>
    <font>
      <b/>
      <sz val="16.0"/>
      <color theme="1"/>
      <name val="Calibri"/>
    </font>
    <font>
      <b/>
      <sz val="11.0"/>
      <color rgb="FFC00000"/>
      <name val="Calibri"/>
    </font>
    <font>
      <b/>
      <sz val="11.0"/>
      <color theme="1"/>
      <name val="Calibri"/>
    </font>
    <font>
      <sz val="11.0"/>
      <color theme="1"/>
      <name val="Calibri"/>
    </font>
    <font/>
    <font>
      <color theme="1"/>
      <name val="Calibri"/>
      <scheme val="minor"/>
    </font>
    <font>
      <u/>
      <sz val="11.0"/>
      <color theme="10"/>
      <name val="Calibri"/>
    </font>
    <font>
      <u/>
      <color rgb="FF0000FF"/>
    </font>
    <font>
      <sz val="10.0"/>
      <color theme="1"/>
      <name val="Dengxian"/>
    </font>
    <font>
      <sz val="10.0"/>
      <color theme="1"/>
      <name val="Arial"/>
    </font>
    <font>
      <u/>
      <sz val="11.0"/>
      <color theme="10"/>
      <name val="Calibri"/>
    </font>
    <font>
      <b/>
      <color theme="1"/>
      <name val="Calibri"/>
      <scheme val="minor"/>
    </font>
  </fonts>
  <fills count="15">
    <fill>
      <patternFill patternType="none"/>
    </fill>
    <fill>
      <patternFill patternType="lightGray"/>
    </fill>
    <fill>
      <patternFill patternType="solid">
        <fgColor rgb="FF2E75B5"/>
        <bgColor rgb="FF2E75B5"/>
      </patternFill>
    </fill>
    <fill>
      <patternFill patternType="solid">
        <fgColor rgb="FFD8D8D8"/>
        <bgColor rgb="FFD8D8D8"/>
      </patternFill>
    </fill>
    <fill>
      <patternFill patternType="solid">
        <fgColor rgb="FFA8D08D"/>
        <bgColor rgb="FFA8D08D"/>
      </patternFill>
    </fill>
    <fill>
      <patternFill patternType="solid">
        <fgColor rgb="FFF7CAAC"/>
        <bgColor rgb="FFF7CAAC"/>
      </patternFill>
    </fill>
    <fill>
      <patternFill patternType="solid">
        <fgColor rgb="FF9CC2E5"/>
        <bgColor rgb="FF9CC2E5"/>
      </patternFill>
    </fill>
    <fill>
      <patternFill patternType="solid">
        <fgColor rgb="FFFFC000"/>
        <bgColor rgb="FFFFC000"/>
      </patternFill>
    </fill>
    <fill>
      <patternFill patternType="solid">
        <fgColor rgb="FF00B0F0"/>
        <bgColor rgb="FF00B0F0"/>
      </patternFill>
    </fill>
    <fill>
      <patternFill patternType="solid">
        <fgColor rgb="FF00B050"/>
        <bgColor rgb="FF00B050"/>
      </patternFill>
    </fill>
    <fill>
      <patternFill patternType="solid">
        <fgColor theme="0"/>
        <bgColor theme="0"/>
      </patternFill>
    </fill>
    <fill>
      <patternFill patternType="solid">
        <fgColor rgb="FF92D050"/>
        <bgColor rgb="FF92D050"/>
      </patternFill>
    </fill>
    <fill>
      <patternFill patternType="solid">
        <fgColor rgb="FFADB9CA"/>
        <bgColor rgb="FFADB9CA"/>
      </patternFill>
    </fill>
    <fill>
      <patternFill patternType="solid">
        <fgColor rgb="FFC5E0B3"/>
        <bgColor rgb="FFC5E0B3"/>
      </patternFill>
    </fill>
    <fill>
      <patternFill patternType="solid">
        <fgColor rgb="FFB4C6E7"/>
        <bgColor rgb="FFB4C6E7"/>
      </patternFill>
    </fill>
  </fills>
  <borders count="31">
    <border/>
    <border>
      <left style="medium">
        <color rgb="FF000000"/>
      </left>
      <right/>
      <top style="medium">
        <color rgb="FF000000"/>
      </top>
      <bottom/>
    </border>
    <border>
      <left/>
      <right/>
      <top style="medium">
        <color rgb="FF000000"/>
      </top>
      <bottom/>
    </border>
    <border>
      <left/>
      <top style="medium">
        <color rgb="FF000000"/>
      </top>
      <bottom/>
    </border>
    <border>
      <top style="medium">
        <color rgb="FF000000"/>
      </top>
      <bottom/>
    </border>
    <border>
      <right style="medium">
        <color rgb="FF000000"/>
      </right>
      <top style="medium">
        <color rgb="FF000000"/>
      </top>
      <bottom/>
    </border>
    <border>
      <left style="medium">
        <color rgb="FF000000"/>
      </left>
      <right/>
      <top/>
      <bottom/>
    </border>
    <border>
      <left/>
      <right/>
      <top/>
      <bottom/>
    </border>
    <border>
      <left/>
      <right style="medium">
        <color rgb="FF000000"/>
      </right>
      <top/>
      <bottom/>
    </border>
    <border>
      <left style="medium">
        <color rgb="FF000000"/>
      </left>
    </border>
    <border>
      <right style="thin">
        <color rgb="FF000000"/>
      </right>
    </border>
    <border>
      <right style="medium">
        <color rgb="FF000000"/>
      </right>
    </border>
    <border>
      <left style="medium">
        <color rgb="FF000000"/>
      </left>
      <top style="medium">
        <color rgb="FF000000"/>
      </top>
      <bottom/>
    </border>
    <border>
      <right style="thin">
        <color rgb="FF000000"/>
      </right>
      <top style="medium">
        <color rgb="FF000000"/>
      </top>
      <bottom/>
    </border>
    <border>
      <left/>
      <right style="thin">
        <color rgb="FF000000"/>
      </right>
      <top style="medium">
        <color rgb="FF000000"/>
      </top>
      <bottom/>
    </border>
    <border>
      <left style="thin">
        <color rgb="FF000000"/>
      </left>
      <right style="thin">
        <color rgb="FF000000"/>
      </right>
      <top style="medium">
        <color rgb="FF000000"/>
      </top>
      <bottom/>
    </border>
    <border>
      <left/>
      <right style="medium">
        <color rgb="FF000000"/>
      </right>
      <top style="medium">
        <color rgb="FF000000"/>
      </top>
      <bottom/>
    </border>
    <border>
      <left/>
      <right style="thin">
        <color rgb="FF000000"/>
      </right>
      <top/>
      <bottom/>
    </border>
    <border>
      <left style="thin">
        <color rgb="FF000000"/>
      </left>
      <right style="thin">
        <color rgb="FF000000"/>
      </right>
      <top/>
      <bottom/>
    </border>
    <border>
      <left style="medium">
        <color rgb="FF000000"/>
      </left>
      <right/>
      <top/>
      <bottom style="medium">
        <color rgb="FF000000"/>
      </bottom>
    </border>
    <border>
      <left/>
      <right style="thin">
        <color rgb="FF000000"/>
      </right>
      <top/>
      <bottom style="medium">
        <color rgb="FF000000"/>
      </bottom>
    </border>
    <border>
      <left style="thin">
        <color rgb="FF000000"/>
      </left>
      <right style="thin">
        <color rgb="FF000000"/>
      </right>
      <top/>
      <bottom style="medium">
        <color rgb="FF000000"/>
      </bottom>
    </border>
    <border>
      <left/>
      <right style="medium">
        <color rgb="FF000000"/>
      </right>
      <top/>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left/>
      <right/>
      <top/>
      <bottom style="medium">
        <color rgb="FF000000"/>
      </bottom>
    </border>
    <border>
      <left style="medium">
        <color rgb="FF000000"/>
      </left>
      <right/>
      <top style="medium">
        <color rgb="FF000000"/>
      </top>
      <bottom style="medium">
        <color rgb="FF000000"/>
      </bottom>
    </border>
    <border>
      <left/>
      <right style="thin">
        <color rgb="FF000000"/>
      </right>
      <top style="medium">
        <color rgb="FF000000"/>
      </top>
      <bottom style="medium">
        <color rgb="FF000000"/>
      </bottom>
    </border>
    <border>
      <left/>
      <right/>
      <top style="medium">
        <color rgb="FF000000"/>
      </top>
      <bottom style="medium">
        <color rgb="FF000000"/>
      </bottom>
    </border>
    <border>
      <right style="medium">
        <color rgb="FF000000"/>
      </right>
      <bottom style="medium">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xf borderId="1" fillId="2" fontId="3" numFmtId="0" xfId="0" applyBorder="1" applyFill="1" applyFont="1"/>
    <xf borderId="2" fillId="2" fontId="4" numFmtId="0" xfId="0" applyBorder="1" applyFont="1"/>
    <xf borderId="3" fillId="2" fontId="4" numFmtId="0" xfId="0" applyAlignment="1" applyBorder="1" applyFont="1">
      <alignment horizontal="center"/>
    </xf>
    <xf borderId="4" fillId="0" fontId="5" numFmtId="0" xfId="0" applyBorder="1" applyFont="1"/>
    <xf borderId="5" fillId="0" fontId="5" numFmtId="0" xfId="0" applyBorder="1" applyFont="1"/>
    <xf borderId="6" fillId="2" fontId="4" numFmtId="0" xfId="0" applyBorder="1" applyFont="1"/>
    <xf borderId="7" fillId="2" fontId="4" numFmtId="0" xfId="0" applyBorder="1" applyFont="1"/>
    <xf borderId="8" fillId="2" fontId="4" numFmtId="0" xfId="0" applyBorder="1" applyFont="1"/>
    <xf borderId="9" fillId="0" fontId="4" numFmtId="0" xfId="0" applyBorder="1" applyFont="1"/>
    <xf borderId="10" fillId="0" fontId="4" numFmtId="0" xfId="0" applyBorder="1" applyFont="1"/>
    <xf borderId="0" fillId="0" fontId="4" numFmtId="164" xfId="0" applyFont="1" applyNumberFormat="1"/>
    <xf borderId="11" fillId="0" fontId="4" numFmtId="164" xfId="0" applyBorder="1" applyFont="1" applyNumberFormat="1"/>
    <xf borderId="12" fillId="3" fontId="4" numFmtId="0" xfId="0" applyBorder="1" applyFill="1" applyFont="1"/>
    <xf borderId="13" fillId="0" fontId="5" numFmtId="0" xfId="0" applyBorder="1" applyFont="1"/>
    <xf borderId="14" fillId="3" fontId="4" numFmtId="0" xfId="0" applyBorder="1" applyFont="1"/>
    <xf borderId="15" fillId="3" fontId="4" numFmtId="0" xfId="0" applyBorder="1" applyFont="1"/>
    <xf borderId="16" fillId="3" fontId="4" numFmtId="0" xfId="0" applyBorder="1" applyFont="1"/>
    <xf borderId="6" fillId="4" fontId="4" numFmtId="0" xfId="0" applyBorder="1" applyFill="1" applyFont="1"/>
    <xf borderId="17" fillId="4" fontId="4" numFmtId="0" xfId="0" applyBorder="1" applyFont="1"/>
    <xf borderId="17" fillId="4" fontId="4" numFmtId="165" xfId="0" applyBorder="1" applyFont="1" applyNumberFormat="1"/>
    <xf borderId="18" fillId="4" fontId="4" numFmtId="10" xfId="0" applyBorder="1" applyFont="1" applyNumberFormat="1"/>
    <xf borderId="8" fillId="4" fontId="4" numFmtId="165" xfId="0" applyBorder="1" applyFont="1" applyNumberFormat="1"/>
    <xf borderId="6" fillId="5" fontId="4" numFmtId="0" xfId="0" applyBorder="1" applyFill="1" applyFont="1"/>
    <xf borderId="17" fillId="5" fontId="4" numFmtId="0" xfId="0" applyBorder="1" applyFont="1"/>
    <xf borderId="17" fillId="5" fontId="4" numFmtId="165" xfId="0" applyBorder="1" applyFont="1" applyNumberFormat="1"/>
    <xf borderId="8" fillId="5" fontId="4" numFmtId="165" xfId="0" applyBorder="1" applyFont="1" applyNumberFormat="1"/>
    <xf borderId="0" fillId="0" fontId="6" numFmtId="0" xfId="0" applyFont="1"/>
    <xf borderId="6" fillId="6" fontId="4" numFmtId="0" xfId="0" applyBorder="1" applyFill="1" applyFont="1"/>
    <xf borderId="17" fillId="6" fontId="4" numFmtId="0" xfId="0" applyBorder="1" applyFont="1"/>
    <xf borderId="17" fillId="6" fontId="4" numFmtId="165" xfId="0" applyBorder="1" applyFont="1" applyNumberFormat="1"/>
    <xf borderId="8" fillId="6" fontId="4" numFmtId="165" xfId="0" applyBorder="1" applyFont="1" applyNumberFormat="1"/>
    <xf borderId="10" fillId="0" fontId="4" numFmtId="164" xfId="0" applyBorder="1" applyFont="1" applyNumberFormat="1"/>
    <xf borderId="19" fillId="7" fontId="4" numFmtId="0" xfId="0" applyBorder="1" applyFill="1" applyFont="1"/>
    <xf borderId="20" fillId="7" fontId="4" numFmtId="0" xfId="0" applyBorder="1" applyFont="1"/>
    <xf borderId="20" fillId="7" fontId="4" numFmtId="165" xfId="0" applyBorder="1" applyFont="1" applyNumberFormat="1"/>
    <xf borderId="21" fillId="4" fontId="4" numFmtId="10" xfId="0" applyBorder="1" applyFont="1" applyNumberFormat="1"/>
    <xf borderId="22" fillId="7" fontId="4" numFmtId="165" xfId="0" applyBorder="1" applyFont="1" applyNumberFormat="1"/>
    <xf borderId="0" fillId="0" fontId="4" numFmtId="10" xfId="0" applyFont="1" applyNumberFormat="1"/>
    <xf borderId="10" fillId="0" fontId="4" numFmtId="10" xfId="0" applyBorder="1" applyFont="1" applyNumberFormat="1"/>
    <xf borderId="7" fillId="8" fontId="4" numFmtId="164" xfId="0" applyBorder="1" applyFill="1" applyFont="1" applyNumberFormat="1"/>
    <xf borderId="17" fillId="8" fontId="4" numFmtId="166" xfId="0" applyBorder="1" applyFont="1" applyNumberFormat="1"/>
    <xf borderId="0" fillId="0" fontId="4" numFmtId="167" xfId="0" applyFont="1" applyNumberFormat="1"/>
    <xf borderId="10" fillId="0" fontId="4" numFmtId="167" xfId="0" applyBorder="1" applyFont="1" applyNumberFormat="1"/>
    <xf borderId="17" fillId="8" fontId="4" numFmtId="164" xfId="0" applyBorder="1" applyFont="1" applyNumberFormat="1"/>
    <xf borderId="7" fillId="8" fontId="4" numFmtId="0" xfId="0" applyBorder="1" applyFont="1"/>
    <xf borderId="7" fillId="8" fontId="4" numFmtId="168" xfId="0" applyBorder="1" applyFont="1" applyNumberFormat="1"/>
    <xf borderId="17" fillId="8" fontId="4" numFmtId="168" xfId="0" applyBorder="1" applyFont="1" applyNumberFormat="1"/>
    <xf borderId="7" fillId="8" fontId="4" numFmtId="169" xfId="0" applyBorder="1" applyFont="1" applyNumberFormat="1"/>
    <xf borderId="0" fillId="0" fontId="4" numFmtId="169" xfId="0" applyFont="1" applyNumberFormat="1"/>
    <xf borderId="10" fillId="0" fontId="4" numFmtId="169" xfId="0" applyBorder="1" applyFont="1" applyNumberFormat="1"/>
    <xf borderId="23" fillId="0" fontId="4" numFmtId="0" xfId="0" applyBorder="1" applyFont="1"/>
    <xf borderId="24" fillId="0" fontId="4" numFmtId="0" xfId="0" applyBorder="1" applyFont="1"/>
    <xf borderId="24" fillId="0" fontId="4" numFmtId="169" xfId="0" applyBorder="1" applyFont="1" applyNumberFormat="1"/>
    <xf borderId="25" fillId="0" fontId="4" numFmtId="169" xfId="0" applyBorder="1" applyFont="1" applyNumberFormat="1"/>
    <xf borderId="1" fillId="7" fontId="4" numFmtId="0" xfId="0" applyBorder="1" applyFont="1"/>
    <xf borderId="14" fillId="7" fontId="4" numFmtId="0" xfId="0" applyBorder="1" applyFont="1"/>
    <xf borderId="2" fillId="7" fontId="4" numFmtId="164" xfId="0" applyBorder="1" applyFont="1" applyNumberFormat="1"/>
    <xf borderId="26" fillId="7" fontId="4" numFmtId="164" xfId="0" applyBorder="1" applyFont="1" applyNumberFormat="1"/>
    <xf borderId="27" fillId="9" fontId="4" numFmtId="0" xfId="0" applyBorder="1" applyFill="1" applyFont="1"/>
    <xf borderId="28" fillId="9" fontId="4" numFmtId="0" xfId="0" applyBorder="1" applyFont="1"/>
    <xf borderId="29" fillId="9" fontId="4" numFmtId="1" xfId="0" applyBorder="1" applyFont="1" applyNumberFormat="1"/>
    <xf borderId="0" fillId="0" fontId="4" numFmtId="1" xfId="0" applyFont="1" applyNumberFormat="1"/>
    <xf borderId="7" fillId="10" fontId="4" numFmtId="0" xfId="0" applyBorder="1" applyFill="1" applyFont="1"/>
    <xf borderId="1" fillId="11" fontId="4" numFmtId="0" xfId="0" applyBorder="1" applyFill="1" applyFont="1"/>
    <xf borderId="14" fillId="11" fontId="4" numFmtId="0" xfId="0" applyBorder="1" applyFont="1"/>
    <xf borderId="2" fillId="11" fontId="4" numFmtId="10" xfId="0" applyBorder="1" applyFont="1" applyNumberFormat="1"/>
    <xf borderId="6" fillId="11" fontId="4" numFmtId="0" xfId="0" applyBorder="1" applyFont="1"/>
    <xf borderId="17" fillId="11" fontId="4" numFmtId="0" xfId="0" applyBorder="1" applyFont="1"/>
    <xf borderId="7" fillId="11" fontId="4" numFmtId="10" xfId="0" applyBorder="1" applyFont="1" applyNumberFormat="1"/>
    <xf borderId="19" fillId="11" fontId="4" numFmtId="0" xfId="0" applyBorder="1" applyFont="1"/>
    <xf borderId="20" fillId="11" fontId="4" numFmtId="0" xfId="0" applyBorder="1" applyFont="1"/>
    <xf borderId="26" fillId="11" fontId="4" numFmtId="10" xfId="0" applyBorder="1" applyFont="1" applyNumberFormat="1"/>
    <xf borderId="1" fillId="12" fontId="4" numFmtId="0" xfId="0" applyBorder="1" applyFill="1" applyFont="1"/>
    <xf borderId="3" fillId="12" fontId="4" numFmtId="0" xfId="0" applyAlignment="1" applyBorder="1" applyFont="1">
      <alignment horizontal="center"/>
    </xf>
    <xf borderId="6" fillId="12" fontId="4" numFmtId="0" xfId="0" applyBorder="1" applyFont="1"/>
    <xf borderId="7" fillId="12" fontId="4" numFmtId="0" xfId="0" applyBorder="1" applyFont="1"/>
    <xf borderId="17" fillId="12" fontId="4" numFmtId="0" xfId="0" applyBorder="1" applyFont="1"/>
    <xf borderId="6" fillId="13" fontId="4" numFmtId="0" xfId="0" applyBorder="1" applyFill="1" applyFont="1"/>
    <xf borderId="17" fillId="13" fontId="4" numFmtId="0" xfId="0" applyBorder="1" applyFont="1"/>
    <xf borderId="7" fillId="13" fontId="4" numFmtId="10" xfId="0" applyBorder="1" applyFont="1" applyNumberFormat="1"/>
    <xf borderId="17" fillId="13" fontId="4" numFmtId="10" xfId="0" applyBorder="1" applyFont="1" applyNumberFormat="1"/>
    <xf borderId="7" fillId="13" fontId="4" numFmtId="164" xfId="0" applyAlignment="1" applyBorder="1" applyFont="1" applyNumberFormat="1">
      <alignment readingOrder="0"/>
    </xf>
    <xf borderId="7" fillId="10" fontId="4" numFmtId="10" xfId="0" applyBorder="1" applyFont="1" applyNumberFormat="1"/>
    <xf borderId="17" fillId="10" fontId="4" numFmtId="10" xfId="0" applyBorder="1" applyFont="1" applyNumberFormat="1"/>
    <xf borderId="7" fillId="13" fontId="4" numFmtId="170" xfId="0" applyAlignment="1" applyBorder="1" applyFont="1" applyNumberFormat="1">
      <alignment readingOrder="0"/>
    </xf>
    <xf borderId="7" fillId="13" fontId="4" numFmtId="3" xfId="0" applyBorder="1" applyFont="1" applyNumberFormat="1"/>
    <xf borderId="17" fillId="13" fontId="4" numFmtId="3" xfId="0" applyBorder="1" applyFont="1" applyNumberFormat="1"/>
    <xf borderId="7" fillId="13" fontId="4" numFmtId="3" xfId="0" applyAlignment="1" applyBorder="1" applyFont="1" applyNumberFormat="1">
      <alignment readingOrder="0"/>
    </xf>
    <xf borderId="7" fillId="2" fontId="4" numFmtId="3" xfId="0" applyBorder="1" applyFont="1" applyNumberFormat="1"/>
    <xf borderId="7" fillId="5" fontId="4" numFmtId="10" xfId="0" applyBorder="1" applyFont="1" applyNumberFormat="1"/>
    <xf borderId="7" fillId="5" fontId="4" numFmtId="164" xfId="0" applyBorder="1" applyFont="1" applyNumberFormat="1"/>
    <xf borderId="7" fillId="5" fontId="4" numFmtId="164" xfId="0" applyAlignment="1" applyBorder="1" applyFont="1" applyNumberFormat="1">
      <alignment readingOrder="0"/>
    </xf>
    <xf borderId="17" fillId="5" fontId="4" numFmtId="170" xfId="0" applyAlignment="1" applyBorder="1" applyFont="1" applyNumberFormat="1">
      <alignment readingOrder="0"/>
    </xf>
    <xf borderId="7" fillId="5" fontId="4" numFmtId="1" xfId="0" applyBorder="1" applyFont="1" applyNumberFormat="1"/>
    <xf borderId="7" fillId="5" fontId="4" numFmtId="3" xfId="0" applyBorder="1" applyFont="1" applyNumberFormat="1"/>
    <xf borderId="8" fillId="5" fontId="4" numFmtId="3" xfId="0" applyBorder="1" applyFont="1" applyNumberFormat="1"/>
    <xf borderId="7" fillId="2" fontId="4" numFmtId="1" xfId="0" applyBorder="1" applyFont="1" applyNumberFormat="1"/>
    <xf borderId="11" fillId="0" fontId="4" numFmtId="0" xfId="0" applyBorder="1" applyFont="1"/>
    <xf borderId="6" fillId="14" fontId="4" numFmtId="0" xfId="0" applyBorder="1" applyFill="1" applyFont="1"/>
    <xf borderId="17" fillId="14" fontId="4" numFmtId="0" xfId="0" applyBorder="1" applyFont="1"/>
    <xf borderId="7" fillId="14" fontId="4" numFmtId="10" xfId="0" applyBorder="1" applyFont="1" applyNumberFormat="1"/>
    <xf borderId="8" fillId="14" fontId="4" numFmtId="10" xfId="0" applyBorder="1" applyFont="1" applyNumberFormat="1"/>
    <xf borderId="7" fillId="14" fontId="4" numFmtId="164" xfId="0" applyBorder="1" applyFont="1" applyNumberFormat="1"/>
    <xf borderId="8" fillId="14" fontId="4" numFmtId="164" xfId="0" applyBorder="1" applyFont="1" applyNumberFormat="1"/>
    <xf borderId="8" fillId="10" fontId="4" numFmtId="10" xfId="0" applyBorder="1" applyFont="1" applyNumberFormat="1"/>
    <xf borderId="7" fillId="14" fontId="4" numFmtId="1" xfId="0" applyBorder="1" applyFont="1" applyNumberFormat="1"/>
    <xf borderId="8" fillId="14" fontId="4" numFmtId="1" xfId="0" applyBorder="1" applyFont="1" applyNumberFormat="1"/>
    <xf borderId="19" fillId="14" fontId="4" numFmtId="0" xfId="0" applyBorder="1" applyFont="1"/>
    <xf borderId="20" fillId="14" fontId="4" numFmtId="0" xfId="0" applyBorder="1" applyFont="1"/>
    <xf borderId="26" fillId="14" fontId="4" numFmtId="1" xfId="0" applyBorder="1" applyFont="1" applyNumberFormat="1"/>
    <xf borderId="22" fillId="14" fontId="4" numFmtId="1" xfId="0" applyBorder="1" applyFont="1" applyNumberFormat="1"/>
    <xf borderId="0" fillId="0" fontId="7" numFmtId="0" xfId="0" applyFont="1"/>
    <xf borderId="0" fillId="0" fontId="6" numFmtId="0" xfId="0" applyAlignment="1" applyFont="1">
      <alignment readingOrder="0"/>
    </xf>
    <xf borderId="0" fillId="0" fontId="8" numFmtId="0" xfId="0" applyAlignment="1" applyFont="1">
      <alignment readingOrder="0"/>
    </xf>
    <xf borderId="0" fillId="0" fontId="9" numFmtId="0" xfId="0" applyFont="1"/>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6" numFmtId="164" xfId="0" applyFont="1" applyNumberFormat="1"/>
    <xf borderId="9" fillId="0" fontId="4" numFmtId="0" xfId="0" applyAlignment="1" applyBorder="1" applyFont="1">
      <alignment readingOrder="0"/>
    </xf>
    <xf borderId="0" fillId="0" fontId="6" numFmtId="169" xfId="0" applyFont="1" applyNumberFormat="1"/>
    <xf borderId="0" fillId="0" fontId="1" numFmtId="0" xfId="0" applyFont="1"/>
    <xf borderId="11" fillId="0" fontId="4" numFmtId="10" xfId="0" applyBorder="1" applyFont="1" applyNumberFormat="1"/>
    <xf borderId="11" fillId="0" fontId="4" numFmtId="167" xfId="0" applyBorder="1" applyFont="1" applyNumberFormat="1"/>
    <xf borderId="8" fillId="8" fontId="4" numFmtId="164" xfId="0" applyBorder="1" applyFont="1" applyNumberFormat="1"/>
    <xf borderId="8" fillId="8" fontId="4" numFmtId="0" xfId="0" applyBorder="1" applyFont="1"/>
    <xf borderId="11" fillId="0" fontId="4" numFmtId="169" xfId="0" applyBorder="1" applyFont="1" applyNumberFormat="1"/>
    <xf borderId="30" fillId="0" fontId="4" numFmtId="169" xfId="0" applyBorder="1" applyFont="1" applyNumberFormat="1"/>
    <xf borderId="16" fillId="7" fontId="4" numFmtId="164" xfId="0" applyBorder="1" applyFont="1" applyNumberFormat="1"/>
    <xf borderId="22" fillId="7" fontId="4" numFmtId="164" xfId="0" applyBorder="1" applyFont="1" applyNumberFormat="1"/>
    <xf borderId="16" fillId="11" fontId="4" numFmtId="10" xfId="0" applyBorder="1" applyFont="1" applyNumberFormat="1"/>
    <xf borderId="8" fillId="11" fontId="4" numFmtId="10" xfId="0" applyBorder="1" applyFont="1" applyNumberFormat="1"/>
    <xf borderId="22" fillId="11" fontId="4" numFmtId="10" xfId="0" applyBorder="1" applyFont="1" applyNumberFormat="1"/>
    <xf borderId="8" fillId="12" fontId="4" numFmtId="0" xfId="0" applyBorder="1" applyFont="1"/>
    <xf borderId="8" fillId="13" fontId="4" numFmtId="10" xfId="0" applyBorder="1" applyFont="1" applyNumberFormat="1"/>
    <xf borderId="7" fillId="13" fontId="4" numFmtId="164" xfId="0" applyBorder="1" applyFont="1" applyNumberFormat="1"/>
    <xf borderId="8" fillId="13" fontId="4" numFmtId="164" xfId="0" applyBorder="1" applyFont="1" applyNumberFormat="1"/>
    <xf borderId="7" fillId="13" fontId="4" numFmtId="1" xfId="0" applyBorder="1" applyFont="1" applyNumberFormat="1"/>
    <xf borderId="8" fillId="13" fontId="4" numFmtId="1" xfId="0" applyBorder="1" applyFont="1" applyNumberFormat="1"/>
    <xf borderId="8" fillId="5" fontId="4" numFmtId="10" xfId="0" applyBorder="1" applyFont="1" applyNumberFormat="1"/>
    <xf borderId="8" fillId="5" fontId="4" numFmtId="164" xfId="0" applyBorder="1" applyFont="1" applyNumberFormat="1"/>
    <xf borderId="8" fillId="5" fontId="4" numFmtId="1"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5B9BD5"/>
              </a:solidFill>
            </a:ln>
          </c:spPr>
          <c:marker>
            <c:symbol val="none"/>
          </c:marker>
          <c:cat>
            <c:strRef>
              <c:f>'Graph table'!$B$3:$B$8</c:f>
            </c:strRef>
          </c:cat>
          <c:val>
            <c:numRef>
              <c:f>'Graph table'!$C$3:$C$8</c:f>
              <c:numCache/>
            </c:numRef>
          </c:val>
          <c:smooth val="0"/>
        </c:ser>
        <c:ser>
          <c:idx val="1"/>
          <c:order val="1"/>
          <c:spPr>
            <a:ln cmpd="sng">
              <a:solidFill>
                <a:srgbClr val="ED7D31"/>
              </a:solidFill>
            </a:ln>
          </c:spPr>
          <c:marker>
            <c:symbol val="none"/>
          </c:marker>
          <c:cat>
            <c:strRef>
              <c:f>'Graph table'!$B$3:$B$8</c:f>
            </c:strRef>
          </c:cat>
          <c:val>
            <c:numRef>
              <c:f>'Graph table'!$D$3:$D$8</c:f>
              <c:numCache/>
            </c:numRef>
          </c:val>
          <c:smooth val="0"/>
        </c:ser>
        <c:ser>
          <c:idx val="2"/>
          <c:order val="2"/>
          <c:spPr>
            <a:ln cmpd="sng">
              <a:solidFill>
                <a:srgbClr val="A5A5A5"/>
              </a:solidFill>
            </a:ln>
          </c:spPr>
          <c:marker>
            <c:symbol val="none"/>
          </c:marker>
          <c:cat>
            <c:strRef>
              <c:f>'Graph table'!$B$3:$B$8</c:f>
            </c:strRef>
          </c:cat>
          <c:val>
            <c:numRef>
              <c:f>'Graph table'!$E$3:$E$8</c:f>
              <c:numCache/>
            </c:numRef>
          </c:val>
          <c:smooth val="0"/>
        </c:ser>
        <c:ser>
          <c:idx val="3"/>
          <c:order val="3"/>
          <c:spPr>
            <a:ln cmpd="sng">
              <a:solidFill>
                <a:srgbClr val="FFC000"/>
              </a:solidFill>
            </a:ln>
          </c:spPr>
          <c:marker>
            <c:symbol val="none"/>
          </c:marker>
          <c:cat>
            <c:strRef>
              <c:f>'Graph table'!$B$3:$B$8</c:f>
            </c:strRef>
          </c:cat>
          <c:val>
            <c:numRef>
              <c:f>'Graph table'!$F$3:$F$8</c:f>
              <c:numCache/>
            </c:numRef>
          </c:val>
          <c:smooth val="0"/>
        </c:ser>
        <c:ser>
          <c:idx val="4"/>
          <c:order val="4"/>
          <c:spPr>
            <a:ln cmpd="sng">
              <a:solidFill>
                <a:srgbClr val="4472C4"/>
              </a:solidFill>
            </a:ln>
          </c:spPr>
          <c:marker>
            <c:symbol val="none"/>
          </c:marker>
          <c:cat>
            <c:strRef>
              <c:f>'Graph table'!$B$3:$B$8</c:f>
            </c:strRef>
          </c:cat>
          <c:val>
            <c:numRef>
              <c:f>'Graph table'!$G$3:$G$8</c:f>
              <c:numCache/>
            </c:numRef>
          </c:val>
          <c:smooth val="0"/>
        </c:ser>
        <c:ser>
          <c:idx val="5"/>
          <c:order val="5"/>
          <c:spPr>
            <a:ln cmpd="sng">
              <a:solidFill>
                <a:srgbClr val="70AD47"/>
              </a:solidFill>
            </a:ln>
          </c:spPr>
          <c:marker>
            <c:symbol val="none"/>
          </c:marker>
          <c:cat>
            <c:strRef>
              <c:f>'Graph table'!$B$3:$B$8</c:f>
            </c:strRef>
          </c:cat>
          <c:val>
            <c:numRef>
              <c:f>'Graph table'!$H$3:$H$8</c:f>
              <c:numCache/>
            </c:numRef>
          </c:val>
          <c:smooth val="0"/>
        </c:ser>
        <c:axId val="336270425"/>
        <c:axId val="329175042"/>
      </c:lineChart>
      <c:catAx>
        <c:axId val="3362704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29175042"/>
      </c:catAx>
      <c:valAx>
        <c:axId val="3291750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6270425"/>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24675" cy="441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9</xdr:row>
      <xdr:rowOff>142875</xdr:rowOff>
    </xdr:from>
    <xdr:ext cx="5715000" cy="3533775"/>
    <xdr:graphicFrame>
      <xdr:nvGraphicFramePr>
        <xdr:cNvPr id="330726388"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c.gov/Archives/edgar/vprr/0602/06025941.pdf" TargetMode="External"/><Relationship Id="rId2" Type="http://schemas.openxmlformats.org/officeDocument/2006/relationships/hyperlink" Target="http://../Downloads/PhilipsFullAnnualReport2022-English.pdf" TargetMode="External"/><Relationship Id="rId3" Type="http://schemas.openxmlformats.org/officeDocument/2006/relationships/hyperlink" Target="https://backofhouse.io/stories/tips-navigate-negotiate-restaurant-contracts-third-party-food-delivery-platforms-commission-rates" TargetMode="External"/><Relationship Id="rId4" Type="http://schemas.openxmlformats.org/officeDocument/2006/relationships/hyperlink" Target="https://www.bitlaw.com/guidance/patent/what-does-a-patent-application-cost.html" TargetMode="External"/><Relationship Id="rId11" Type="http://schemas.openxmlformats.org/officeDocument/2006/relationships/hyperlink" Target="https://www.quora.com/Does-a-1-5-liter-Listerine-mouthwash-last-for-about-2-months-if-used-every-day" TargetMode="External"/><Relationship Id="rId10" Type="http://schemas.openxmlformats.org/officeDocument/2006/relationships/hyperlink" Target="https://gocardless.com/en-us/guides/posts/market-penetration/" TargetMode="External"/><Relationship Id="rId12" Type="http://schemas.openxmlformats.org/officeDocument/2006/relationships/drawing" Target="../drawings/drawing2.xml"/><Relationship Id="rId9" Type="http://schemas.openxmlformats.org/officeDocument/2006/relationships/hyperlink" Target="https://www.businesswire.com/news/home/20170717005482/en/Church-Dwight-to-Acquire-Waterpik-for-Approximately-1-Billion" TargetMode="External"/><Relationship Id="rId5" Type="http://schemas.openxmlformats.org/officeDocument/2006/relationships/hyperlink" Target="https://www.bls.gov/oes/current/oes291292.htm" TargetMode="External"/><Relationship Id="rId6" Type="http://schemas.openxmlformats.org/officeDocument/2006/relationships/hyperlink" Target="https://www.statista.com/statistics/965365/patient-visits-among-all-dentists-us-per-year/" TargetMode="External"/><Relationship Id="rId7" Type="http://schemas.openxmlformats.org/officeDocument/2006/relationships/hyperlink" Target="https://pubmed.ncbi.nlm.nih.gov/33210783/" TargetMode="External"/><Relationship Id="rId8" Type="http://schemas.openxmlformats.org/officeDocument/2006/relationships/hyperlink" Target="https://my-ibisworld-com.libproxy2.usc.edu/us/en/industry-specialized/od6033/key-statistic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0.0"/>
    <col customWidth="1" min="3" max="3" width="8.86"/>
    <col customWidth="1" min="4" max="4" width="14.71"/>
    <col customWidth="1" min="5" max="6" width="15.71"/>
    <col customWidth="1" min="7" max="9" width="16.71"/>
    <col customWidth="1" min="10" max="10" width="17.71"/>
    <col customWidth="1" min="11" max="11" width="8.86"/>
    <col customWidth="1" min="12" max="12" width="24.86"/>
    <col customWidth="1" min="13" max="13" width="10.14"/>
    <col customWidth="1" min="14" max="14" width="10.43"/>
    <col customWidth="1" min="15" max="15" width="12.14"/>
    <col customWidth="1" min="16" max="26" width="8.86"/>
  </cols>
  <sheetData>
    <row r="2">
      <c r="B2" s="1" t="s">
        <v>0</v>
      </c>
    </row>
    <row r="3">
      <c r="B3" s="2" t="s">
        <v>1</v>
      </c>
      <c r="C3" s="3"/>
      <c r="D3" s="3"/>
    </row>
    <row r="4">
      <c r="B4" s="3" t="s">
        <v>2</v>
      </c>
      <c r="C4" s="3"/>
      <c r="D4" s="3"/>
    </row>
    <row r="5">
      <c r="B5" s="4" t="s">
        <v>3</v>
      </c>
      <c r="C5" s="5"/>
      <c r="D5" s="6" t="s">
        <v>4</v>
      </c>
      <c r="E5" s="7"/>
      <c r="F5" s="7"/>
      <c r="G5" s="7"/>
      <c r="H5" s="7"/>
      <c r="I5" s="8"/>
    </row>
    <row r="6">
      <c r="B6" s="9"/>
      <c r="C6" s="10"/>
      <c r="D6" s="10">
        <v>1.0</v>
      </c>
      <c r="E6" s="10">
        <v>2.0</v>
      </c>
      <c r="F6" s="10">
        <v>3.0</v>
      </c>
      <c r="G6" s="10">
        <v>4.0</v>
      </c>
      <c r="H6" s="10">
        <v>5.0</v>
      </c>
      <c r="I6" s="11">
        <v>6.0</v>
      </c>
    </row>
    <row r="7">
      <c r="B7" s="12" t="s">
        <v>5</v>
      </c>
      <c r="C7" s="13"/>
      <c r="D7" s="14">
        <f>D8+D9+D10</f>
        <v>0</v>
      </c>
      <c r="E7" s="14">
        <f>SUM(E8:E10)</f>
        <v>277900</v>
      </c>
      <c r="F7" s="14">
        <f t="shared" ref="F7:I7" si="1">F8+F9+F10</f>
        <v>277900</v>
      </c>
      <c r="G7" s="14">
        <f t="shared" si="1"/>
        <v>555800</v>
      </c>
      <c r="H7" s="14">
        <f t="shared" si="1"/>
        <v>5631955</v>
      </c>
      <c r="I7" s="15">
        <f t="shared" si="1"/>
        <v>21138320</v>
      </c>
      <c r="K7" s="16" t="s">
        <v>6</v>
      </c>
      <c r="L7" s="17"/>
      <c r="M7" s="18"/>
      <c r="N7" s="19" t="s">
        <v>7</v>
      </c>
      <c r="O7" s="20" t="s">
        <v>8</v>
      </c>
    </row>
    <row r="8">
      <c r="B8" s="12" t="s">
        <v>9</v>
      </c>
      <c r="C8" s="13"/>
      <c r="D8" s="14">
        <f t="shared" ref="D8:I8" si="2">D46*D51</f>
        <v>0</v>
      </c>
      <c r="E8" s="14">
        <f t="shared" si="2"/>
        <v>277900</v>
      </c>
      <c r="F8" s="14">
        <f t="shared" si="2"/>
        <v>277900</v>
      </c>
      <c r="G8" s="14">
        <f t="shared" si="2"/>
        <v>555800</v>
      </c>
      <c r="H8" s="14">
        <f t="shared" si="2"/>
        <v>555800</v>
      </c>
      <c r="I8" s="15">
        <f t="shared" si="2"/>
        <v>833700</v>
      </c>
      <c r="K8" s="21" t="s">
        <v>10</v>
      </c>
      <c r="L8" s="22"/>
      <c r="M8" s="23">
        <f>I54</f>
        <v>198500</v>
      </c>
      <c r="N8" s="24">
        <f t="shared" ref="N8:N14" si="4">M8/O8</f>
        <v>0.1</v>
      </c>
      <c r="O8" s="25">
        <f>1985000</f>
        <v>1985000</v>
      </c>
    </row>
    <row r="9">
      <c r="B9" s="12" t="s">
        <v>11</v>
      </c>
      <c r="C9" s="13"/>
      <c r="D9" s="14">
        <f t="shared" ref="D9:I9" si="3">D58*D63</f>
        <v>0</v>
      </c>
      <c r="E9" s="14">
        <f t="shared" si="3"/>
        <v>0</v>
      </c>
      <c r="F9" s="14">
        <f t="shared" si="3"/>
        <v>0</v>
      </c>
      <c r="G9" s="14">
        <f t="shared" si="3"/>
        <v>0</v>
      </c>
      <c r="H9" s="14">
        <f t="shared" si="3"/>
        <v>5076155</v>
      </c>
      <c r="I9" s="15">
        <f t="shared" si="3"/>
        <v>20304620</v>
      </c>
      <c r="K9" s="21" t="s">
        <v>12</v>
      </c>
      <c r="L9" s="22"/>
      <c r="M9" s="23">
        <f>M8*D52</f>
        <v>198500</v>
      </c>
      <c r="N9" s="24">
        <f t="shared" si="4"/>
        <v>0.1</v>
      </c>
      <c r="O9" s="25">
        <f>I52*O8</f>
        <v>1985000</v>
      </c>
    </row>
    <row r="10">
      <c r="B10" s="12" t="s">
        <v>13</v>
      </c>
      <c r="C10" s="13"/>
      <c r="D10" s="14">
        <f t="shared" ref="D10:I10" si="5">D70*D75</f>
        <v>0</v>
      </c>
      <c r="E10" s="14">
        <f t="shared" si="5"/>
        <v>0</v>
      </c>
      <c r="F10" s="14">
        <f t="shared" si="5"/>
        <v>0</v>
      </c>
      <c r="G10" s="14">
        <f t="shared" si="5"/>
        <v>0</v>
      </c>
      <c r="H10" s="14">
        <f t="shared" si="5"/>
        <v>0</v>
      </c>
      <c r="I10" s="15">
        <f t="shared" si="5"/>
        <v>0</v>
      </c>
      <c r="K10" s="26" t="s">
        <v>14</v>
      </c>
      <c r="L10" s="27"/>
      <c r="M10" s="28">
        <f>I66</f>
        <v>4350990</v>
      </c>
      <c r="N10" s="24">
        <f t="shared" si="4"/>
        <v>0.01314498489</v>
      </c>
      <c r="O10" s="29">
        <v>3.31E8</v>
      </c>
      <c r="P10" s="30">
        <v>16.0</v>
      </c>
    </row>
    <row r="11">
      <c r="B11" s="12" t="s">
        <v>15</v>
      </c>
      <c r="C11" s="13"/>
      <c r="D11" s="14">
        <f t="shared" ref="D11:I11" si="6">D12+D13+D14</f>
        <v>0</v>
      </c>
      <c r="E11" s="14">
        <f t="shared" si="6"/>
        <v>214380</v>
      </c>
      <c r="F11" s="14">
        <f t="shared" si="6"/>
        <v>214380</v>
      </c>
      <c r="G11" s="14">
        <f t="shared" si="6"/>
        <v>397000</v>
      </c>
      <c r="H11" s="14">
        <f t="shared" si="6"/>
        <v>3218260</v>
      </c>
      <c r="I11" s="15">
        <f t="shared" si="6"/>
        <v>11475088</v>
      </c>
      <c r="K11" s="26" t="s">
        <v>16</v>
      </c>
      <c r="L11" s="27"/>
      <c r="M11" s="28">
        <f>M10*I64</f>
        <v>4350990</v>
      </c>
      <c r="N11" s="24">
        <f t="shared" si="4"/>
        <v>0.01314498489</v>
      </c>
      <c r="O11" s="29">
        <f>O10*I64</f>
        <v>331000000</v>
      </c>
    </row>
    <row r="12">
      <c r="B12" s="12" t="s">
        <v>17</v>
      </c>
      <c r="C12" s="13"/>
      <c r="D12" s="14">
        <f t="shared" ref="D12:I12" si="7">D48*D51</f>
        <v>0</v>
      </c>
      <c r="E12" s="14">
        <f t="shared" si="7"/>
        <v>214380</v>
      </c>
      <c r="F12" s="14">
        <f t="shared" si="7"/>
        <v>214380</v>
      </c>
      <c r="G12" s="14">
        <f t="shared" si="7"/>
        <v>397000</v>
      </c>
      <c r="H12" s="14">
        <f t="shared" si="7"/>
        <v>317600</v>
      </c>
      <c r="I12" s="15">
        <f t="shared" si="7"/>
        <v>452580</v>
      </c>
      <c r="K12" s="31" t="s">
        <v>18</v>
      </c>
      <c r="L12" s="32"/>
      <c r="M12" s="33" t="str">
        <f>I78</f>
        <v/>
      </c>
      <c r="N12" s="24" t="str">
        <f t="shared" si="4"/>
        <v>#DIV/0!</v>
      </c>
      <c r="O12" s="34"/>
    </row>
    <row r="13">
      <c r="B13" s="12" t="s">
        <v>19</v>
      </c>
      <c r="C13" s="13"/>
      <c r="D13" s="14">
        <f t="shared" ref="D13:I13" si="8">D60*D63</f>
        <v>0</v>
      </c>
      <c r="E13" s="14">
        <f t="shared" si="8"/>
        <v>0</v>
      </c>
      <c r="F13" s="14">
        <f t="shared" si="8"/>
        <v>0</v>
      </c>
      <c r="G13" s="14">
        <f t="shared" si="8"/>
        <v>0</v>
      </c>
      <c r="H13" s="14">
        <f t="shared" si="8"/>
        <v>2900660</v>
      </c>
      <c r="I13" s="35">
        <f t="shared" si="8"/>
        <v>11022508</v>
      </c>
      <c r="K13" s="31" t="s">
        <v>20</v>
      </c>
      <c r="L13" s="32"/>
      <c r="M13" s="33">
        <f>M12*D76</f>
        <v>0</v>
      </c>
      <c r="N13" s="24" t="str">
        <f t="shared" si="4"/>
        <v>#DIV/0!</v>
      </c>
      <c r="O13" s="34">
        <f>O12*D76</f>
        <v>0</v>
      </c>
    </row>
    <row r="14">
      <c r="B14" s="12" t="s">
        <v>21</v>
      </c>
      <c r="C14" s="13"/>
      <c r="D14" s="14">
        <f t="shared" ref="D14:I14" si="9">D72*D75</f>
        <v>0</v>
      </c>
      <c r="E14" s="14">
        <f t="shared" si="9"/>
        <v>0</v>
      </c>
      <c r="F14" s="14">
        <f t="shared" si="9"/>
        <v>0</v>
      </c>
      <c r="G14" s="14">
        <f t="shared" si="9"/>
        <v>0</v>
      </c>
      <c r="H14" s="14">
        <f t="shared" si="9"/>
        <v>0</v>
      </c>
      <c r="I14" s="35">
        <f t="shared" si="9"/>
        <v>0</v>
      </c>
      <c r="K14" s="36" t="s">
        <v>22</v>
      </c>
      <c r="L14" s="37"/>
      <c r="M14" s="38">
        <f>M9+M11+M13</f>
        <v>4549490</v>
      </c>
      <c r="N14" s="39">
        <f t="shared" si="4"/>
        <v>0.01366274757</v>
      </c>
      <c r="O14" s="40">
        <f>O9+O11+O13</f>
        <v>332985000</v>
      </c>
    </row>
    <row r="15">
      <c r="B15" s="12" t="s">
        <v>23</v>
      </c>
      <c r="C15" s="13"/>
      <c r="D15" s="14">
        <f t="shared" ref="D15:I15" si="10">D7-D11</f>
        <v>0</v>
      </c>
      <c r="E15" s="14">
        <f t="shared" si="10"/>
        <v>63520</v>
      </c>
      <c r="F15" s="14">
        <f t="shared" si="10"/>
        <v>63520</v>
      </c>
      <c r="G15" s="14">
        <f t="shared" si="10"/>
        <v>158800</v>
      </c>
      <c r="H15" s="14">
        <f t="shared" si="10"/>
        <v>2413695</v>
      </c>
      <c r="I15" s="35">
        <f t="shared" si="10"/>
        <v>9663232</v>
      </c>
    </row>
    <row r="16">
      <c r="B16" s="12" t="s">
        <v>24</v>
      </c>
      <c r="C16" s="13"/>
      <c r="D16" s="41">
        <v>0.0</v>
      </c>
      <c r="E16" s="41">
        <f t="shared" ref="E16:I16" si="11">E15/E7</f>
        <v>0.2285714286</v>
      </c>
      <c r="F16" s="41">
        <f t="shared" si="11"/>
        <v>0.2285714286</v>
      </c>
      <c r="G16" s="41">
        <f t="shared" si="11"/>
        <v>0.2857142857</v>
      </c>
      <c r="H16" s="41">
        <f t="shared" si="11"/>
        <v>0.4285714286</v>
      </c>
      <c r="I16" s="42">
        <f t="shared" si="11"/>
        <v>0.4571428571</v>
      </c>
    </row>
    <row r="17">
      <c r="B17" s="12" t="s">
        <v>25</v>
      </c>
      <c r="C17" s="13"/>
      <c r="D17" s="14">
        <f>17500</f>
        <v>17500</v>
      </c>
      <c r="E17" s="14"/>
      <c r="F17" s="14">
        <v>0.0</v>
      </c>
      <c r="G17" s="14">
        <v>0.0</v>
      </c>
      <c r="H17" s="14">
        <v>0.0</v>
      </c>
      <c r="I17" s="35">
        <v>0.0</v>
      </c>
      <c r="J17" s="30">
        <v>7.0</v>
      </c>
    </row>
    <row r="18">
      <c r="B18" s="12" t="s">
        <v>26</v>
      </c>
      <c r="C18" s="13"/>
      <c r="D18" s="30">
        <v>0.0</v>
      </c>
      <c r="E18" s="14">
        <f t="shared" ref="E18:I18" si="12">E7*$E$37</f>
        <v>5432.945</v>
      </c>
      <c r="F18" s="14">
        <f t="shared" si="12"/>
        <v>5432.945</v>
      </c>
      <c r="G18" s="14">
        <f t="shared" si="12"/>
        <v>10865.89</v>
      </c>
      <c r="H18" s="14">
        <f t="shared" si="12"/>
        <v>110104.7203</v>
      </c>
      <c r="I18" s="35">
        <f t="shared" si="12"/>
        <v>413254.156</v>
      </c>
    </row>
    <row r="19">
      <c r="B19" s="12" t="s">
        <v>27</v>
      </c>
      <c r="C19" s="13"/>
      <c r="D19" s="43">
        <f>2*E19</f>
        <v>120608.6</v>
      </c>
      <c r="E19" s="14">
        <f t="shared" ref="E19:I19" si="13">E7*$E$38</f>
        <v>60304.3</v>
      </c>
      <c r="F19" s="14">
        <f t="shared" si="13"/>
        <v>60304.3</v>
      </c>
      <c r="G19" s="14">
        <f t="shared" si="13"/>
        <v>120608.6</v>
      </c>
      <c r="H19" s="14">
        <f t="shared" si="13"/>
        <v>1222134.235</v>
      </c>
      <c r="I19" s="35">
        <f t="shared" si="13"/>
        <v>4587015.44</v>
      </c>
    </row>
    <row r="20">
      <c r="B20" s="12" t="s">
        <v>28</v>
      </c>
      <c r="C20" s="13"/>
      <c r="I20" s="13"/>
    </row>
    <row r="21" ht="15.75" customHeight="1">
      <c r="B21" s="12" t="s">
        <v>29</v>
      </c>
      <c r="C21" s="44">
        <v>0.0</v>
      </c>
      <c r="D21" s="14">
        <f t="shared" ref="D21:I21" si="14">$C$21*D7</f>
        <v>0</v>
      </c>
      <c r="E21" s="14">
        <f t="shared" si="14"/>
        <v>0</v>
      </c>
      <c r="F21" s="14">
        <f t="shared" si="14"/>
        <v>0</v>
      </c>
      <c r="G21" s="14">
        <f t="shared" si="14"/>
        <v>0</v>
      </c>
      <c r="H21" s="14">
        <f t="shared" si="14"/>
        <v>0</v>
      </c>
      <c r="I21" s="35">
        <f t="shared" si="14"/>
        <v>0</v>
      </c>
    </row>
    <row r="22" ht="15.75" customHeight="1">
      <c r="B22" s="12" t="s">
        <v>30</v>
      </c>
      <c r="C22" s="44">
        <v>0.225</v>
      </c>
      <c r="D22" s="45">
        <f t="shared" ref="D22:I22" si="15">D7*$C$22</f>
        <v>0</v>
      </c>
      <c r="E22" s="45">
        <f t="shared" si="15"/>
        <v>62527.5</v>
      </c>
      <c r="F22" s="45">
        <f t="shared" si="15"/>
        <v>62527.5</v>
      </c>
      <c r="G22" s="45">
        <f t="shared" si="15"/>
        <v>125055</v>
      </c>
      <c r="H22" s="45">
        <f t="shared" si="15"/>
        <v>1267189.875</v>
      </c>
      <c r="I22" s="46">
        <f t="shared" si="15"/>
        <v>4756122</v>
      </c>
      <c r="J22" s="30">
        <v>5.0</v>
      </c>
    </row>
    <row r="23" ht="15.75" customHeight="1">
      <c r="B23" s="12" t="s">
        <v>31</v>
      </c>
      <c r="C23" s="13"/>
      <c r="D23" s="14">
        <v>0.0</v>
      </c>
      <c r="E23" s="14"/>
      <c r="F23" s="14"/>
      <c r="G23" s="14"/>
      <c r="H23" s="14"/>
      <c r="I23" s="35"/>
    </row>
    <row r="24" ht="15.75" customHeight="1">
      <c r="B24" s="12" t="s">
        <v>32</v>
      </c>
      <c r="C24" s="13"/>
      <c r="D24" s="14">
        <f t="shared" ref="D24:I24" si="16">D7-D11-D18-D19-D21</f>
        <v>-120608.6</v>
      </c>
      <c r="E24" s="14">
        <f t="shared" si="16"/>
        <v>-2217.245</v>
      </c>
      <c r="F24" s="14">
        <f t="shared" si="16"/>
        <v>-2217.245</v>
      </c>
      <c r="G24" s="14">
        <f t="shared" si="16"/>
        <v>27325.51</v>
      </c>
      <c r="H24" s="14">
        <f t="shared" si="16"/>
        <v>1081456.045</v>
      </c>
      <c r="I24" s="35">
        <f t="shared" si="16"/>
        <v>4662962.404</v>
      </c>
    </row>
    <row r="25" ht="15.75" customHeight="1">
      <c r="B25" s="12" t="s">
        <v>33</v>
      </c>
      <c r="C25" s="13"/>
      <c r="D25" s="43">
        <f t="shared" ref="D25:I25" si="17">D39*D7</f>
        <v>0</v>
      </c>
      <c r="E25" s="43">
        <f t="shared" si="17"/>
        <v>8337</v>
      </c>
      <c r="F25" s="43">
        <f t="shared" si="17"/>
        <v>8337</v>
      </c>
      <c r="G25" s="43">
        <f t="shared" si="17"/>
        <v>16674</v>
      </c>
      <c r="H25" s="43">
        <f t="shared" si="17"/>
        <v>168958.65</v>
      </c>
      <c r="I25" s="47">
        <f t="shared" si="17"/>
        <v>634149.6</v>
      </c>
    </row>
    <row r="26" ht="15.75" customHeight="1">
      <c r="B26" s="12" t="s">
        <v>34</v>
      </c>
      <c r="C26" s="13"/>
      <c r="D26" s="14">
        <f>D24+D25</f>
        <v>-120608.6</v>
      </c>
      <c r="E26" s="14">
        <f t="shared" ref="E26:I26" si="18">E24-E25</f>
        <v>-10554.245</v>
      </c>
      <c r="F26" s="14">
        <f t="shared" si="18"/>
        <v>-10554.245</v>
      </c>
      <c r="G26" s="14">
        <f t="shared" si="18"/>
        <v>10651.51</v>
      </c>
      <c r="H26" s="14">
        <f t="shared" si="18"/>
        <v>912497.3948</v>
      </c>
      <c r="I26" s="35">
        <f t="shared" si="18"/>
        <v>4028812.804</v>
      </c>
    </row>
    <row r="27" ht="15.75" customHeight="1">
      <c r="B27" s="12" t="s">
        <v>35</v>
      </c>
      <c r="C27" s="42">
        <v>0.006</v>
      </c>
      <c r="D27" s="48"/>
      <c r="E27" s="49">
        <f t="shared" ref="E27:I27" si="19">$C$27*E7</f>
        <v>1667.4</v>
      </c>
      <c r="F27" s="49">
        <f t="shared" si="19"/>
        <v>1667.4</v>
      </c>
      <c r="G27" s="49">
        <f t="shared" si="19"/>
        <v>3334.8</v>
      </c>
      <c r="H27" s="49">
        <f t="shared" si="19"/>
        <v>33791.73</v>
      </c>
      <c r="I27" s="50">
        <f t="shared" si="19"/>
        <v>126829.92</v>
      </c>
      <c r="J27" s="30">
        <v>6.0</v>
      </c>
    </row>
    <row r="28" ht="15.75" customHeight="1">
      <c r="B28" s="12" t="s">
        <v>36</v>
      </c>
      <c r="C28" s="13"/>
      <c r="D28" s="14">
        <f t="shared" ref="D28:I28" si="20">D26-D27</f>
        <v>-120608.6</v>
      </c>
      <c r="E28" s="14">
        <f t="shared" si="20"/>
        <v>-12221.645</v>
      </c>
      <c r="F28" s="14">
        <f t="shared" si="20"/>
        <v>-12221.645</v>
      </c>
      <c r="G28" s="14">
        <f t="shared" si="20"/>
        <v>7316.71</v>
      </c>
      <c r="H28" s="14">
        <f t="shared" si="20"/>
        <v>878705.6648</v>
      </c>
      <c r="I28" s="35">
        <f t="shared" si="20"/>
        <v>3901982.884</v>
      </c>
    </row>
    <row r="29" ht="15.75" customHeight="1">
      <c r="B29" s="12" t="s">
        <v>37</v>
      </c>
      <c r="C29" s="13"/>
      <c r="D29" s="51">
        <v>0.0</v>
      </c>
      <c r="E29" s="52">
        <f t="shared" ref="E29:I29" si="21">E28*$E$40</f>
        <v>-2566.54545</v>
      </c>
      <c r="F29" s="52">
        <f t="shared" si="21"/>
        <v>-2566.54545</v>
      </c>
      <c r="G29" s="52">
        <f t="shared" si="21"/>
        <v>1536.5091</v>
      </c>
      <c r="H29" s="52">
        <f t="shared" si="21"/>
        <v>184528.1896</v>
      </c>
      <c r="I29" s="53">
        <f t="shared" si="21"/>
        <v>819416.4056</v>
      </c>
    </row>
    <row r="30" ht="15.75" customHeight="1">
      <c r="B30" s="54" t="s">
        <v>38</v>
      </c>
      <c r="C30" s="55"/>
      <c r="D30" s="56">
        <f t="shared" ref="D30:I30" si="22">D28-D29</f>
        <v>-120608.6</v>
      </c>
      <c r="E30" s="56">
        <f t="shared" si="22"/>
        <v>-9655.09955</v>
      </c>
      <c r="F30" s="56">
        <f t="shared" si="22"/>
        <v>-9655.09955</v>
      </c>
      <c r="G30" s="56">
        <f t="shared" si="22"/>
        <v>5780.2009</v>
      </c>
      <c r="H30" s="56">
        <f t="shared" si="22"/>
        <v>694177.4752</v>
      </c>
      <c r="I30" s="57">
        <f t="shared" si="22"/>
        <v>3082566.478</v>
      </c>
    </row>
    <row r="31" ht="15.75" customHeight="1"/>
    <row r="32" ht="15.75" customHeight="1">
      <c r="B32" s="58" t="s">
        <v>39</v>
      </c>
      <c r="C32" s="59"/>
      <c r="D32" s="60">
        <f t="shared" ref="D32:I32" si="23">D46</f>
        <v>7</v>
      </c>
      <c r="E32" s="60">
        <f t="shared" si="23"/>
        <v>7</v>
      </c>
      <c r="F32" s="60">
        <f t="shared" si="23"/>
        <v>7</v>
      </c>
      <c r="G32" s="60">
        <f t="shared" si="23"/>
        <v>7</v>
      </c>
      <c r="H32" s="60">
        <f t="shared" si="23"/>
        <v>7</v>
      </c>
      <c r="I32" s="60">
        <f t="shared" si="23"/>
        <v>7</v>
      </c>
    </row>
    <row r="33" ht="15.75" customHeight="1">
      <c r="B33" s="36" t="s">
        <v>40</v>
      </c>
      <c r="C33" s="37"/>
      <c r="D33" s="61">
        <f t="shared" ref="D33:I33" si="24">D48</f>
        <v>5.4</v>
      </c>
      <c r="E33" s="61">
        <f t="shared" si="24"/>
        <v>5.4</v>
      </c>
      <c r="F33" s="61">
        <f t="shared" si="24"/>
        <v>5.4</v>
      </c>
      <c r="G33" s="61">
        <f t="shared" si="24"/>
        <v>5</v>
      </c>
      <c r="H33" s="61">
        <f t="shared" si="24"/>
        <v>4</v>
      </c>
      <c r="I33" s="61">
        <f t="shared" si="24"/>
        <v>3.8</v>
      </c>
    </row>
    <row r="34" ht="15.75" customHeight="1"/>
    <row r="35" ht="15.75" customHeight="1">
      <c r="B35" s="62" t="s">
        <v>41</v>
      </c>
      <c r="C35" s="63"/>
      <c r="D35" s="64">
        <f>D51+D63+D75</f>
        <v>0</v>
      </c>
      <c r="E35" s="64"/>
      <c r="F35" s="64">
        <f t="shared" ref="F35:I35" si="25">F51+F63+F75</f>
        <v>39700</v>
      </c>
      <c r="G35" s="64">
        <f t="shared" si="25"/>
        <v>79400</v>
      </c>
      <c r="H35" s="64">
        <f t="shared" si="25"/>
        <v>804565</v>
      </c>
      <c r="I35" s="64">
        <f t="shared" si="25"/>
        <v>3019760</v>
      </c>
      <c r="J35" s="65"/>
    </row>
    <row r="36" ht="15.75" customHeight="1">
      <c r="B36" s="66"/>
      <c r="C36" s="66"/>
      <c r="D36" s="66"/>
      <c r="E36" s="66"/>
      <c r="F36" s="66"/>
      <c r="G36" s="66"/>
      <c r="H36" s="66"/>
      <c r="I36" s="66"/>
    </row>
    <row r="37" ht="15.75" customHeight="1">
      <c r="B37" s="67" t="s">
        <v>42</v>
      </c>
      <c r="C37" s="68"/>
      <c r="D37" s="69">
        <v>0.01955</v>
      </c>
      <c r="E37" s="69">
        <v>0.01955</v>
      </c>
      <c r="F37" s="69">
        <v>0.01955</v>
      </c>
      <c r="G37" s="69">
        <v>0.01955</v>
      </c>
      <c r="H37" s="69">
        <v>0.01955</v>
      </c>
      <c r="I37" s="69">
        <v>0.01955</v>
      </c>
      <c r="J37" s="30">
        <v>2.0</v>
      </c>
    </row>
    <row r="38" ht="15.75" customHeight="1">
      <c r="B38" s="70" t="s">
        <v>43</v>
      </c>
      <c r="C38" s="71"/>
      <c r="D38" s="72">
        <v>0.217</v>
      </c>
      <c r="E38" s="72">
        <v>0.217</v>
      </c>
      <c r="F38" s="72">
        <v>0.217</v>
      </c>
      <c r="G38" s="72">
        <v>0.217</v>
      </c>
      <c r="H38" s="72">
        <v>0.217</v>
      </c>
      <c r="I38" s="72">
        <v>0.217</v>
      </c>
      <c r="J38" s="30">
        <v>3.0</v>
      </c>
    </row>
    <row r="39" ht="15.75" customHeight="1">
      <c r="B39" s="70" t="s">
        <v>33</v>
      </c>
      <c r="C39" s="71"/>
      <c r="D39" s="72">
        <v>0.03</v>
      </c>
      <c r="E39" s="72">
        <v>0.03</v>
      </c>
      <c r="F39" s="72">
        <v>0.03</v>
      </c>
      <c r="G39" s="72">
        <v>0.03</v>
      </c>
      <c r="H39" s="72">
        <v>0.03</v>
      </c>
      <c r="I39" s="72">
        <v>0.03</v>
      </c>
      <c r="J39" s="30">
        <v>4.0</v>
      </c>
    </row>
    <row r="40" ht="15.75" customHeight="1">
      <c r="B40" s="73" t="s">
        <v>37</v>
      </c>
      <c r="C40" s="74"/>
      <c r="D40" s="75">
        <v>0.21</v>
      </c>
      <c r="E40" s="75">
        <v>0.21</v>
      </c>
      <c r="F40" s="75">
        <v>0.21</v>
      </c>
      <c r="G40" s="75">
        <v>0.21</v>
      </c>
      <c r="H40" s="75">
        <v>0.21</v>
      </c>
      <c r="I40" s="75">
        <v>0.21</v>
      </c>
    </row>
    <row r="41" ht="15.75" customHeight="1"/>
    <row r="42" ht="15.75" customHeight="1">
      <c r="B42" s="76" t="s">
        <v>44</v>
      </c>
      <c r="C42" s="77" t="s">
        <v>4</v>
      </c>
      <c r="D42" s="7"/>
      <c r="E42" s="7"/>
      <c r="F42" s="7"/>
      <c r="G42" s="7"/>
      <c r="H42" s="7"/>
      <c r="I42" s="17"/>
    </row>
    <row r="43" ht="15.75" customHeight="1">
      <c r="B43" s="78" t="s">
        <v>45</v>
      </c>
      <c r="C43" s="79">
        <v>0.0</v>
      </c>
      <c r="D43" s="79">
        <v>1.0</v>
      </c>
      <c r="E43" s="79">
        <v>2.0</v>
      </c>
      <c r="F43" s="79">
        <v>3.0</v>
      </c>
      <c r="G43" s="79">
        <v>4.0</v>
      </c>
      <c r="H43" s="79">
        <v>5.0</v>
      </c>
      <c r="I43" s="80">
        <v>6.0</v>
      </c>
    </row>
    <row r="44" ht="15.75" customHeight="1">
      <c r="B44" s="81" t="s">
        <v>46</v>
      </c>
      <c r="C44" s="82"/>
      <c r="D44" s="83">
        <v>0.0</v>
      </c>
      <c r="E44" s="83">
        <v>0.02</v>
      </c>
      <c r="F44" s="83">
        <v>0.04</v>
      </c>
      <c r="G44" s="83">
        <v>0.06</v>
      </c>
      <c r="H44" s="83">
        <v>0.08</v>
      </c>
      <c r="I44" s="84">
        <v>0.1</v>
      </c>
      <c r="J44" s="30">
        <v>13.0</v>
      </c>
    </row>
    <row r="45" ht="15.75" customHeight="1">
      <c r="B45" s="81" t="s">
        <v>47</v>
      </c>
      <c r="C45" s="82"/>
      <c r="D45" s="83"/>
      <c r="E45" s="83"/>
      <c r="F45" s="83">
        <f t="shared" ref="F45:I45" si="26">F53/E53</f>
        <v>1</v>
      </c>
      <c r="G45" s="83">
        <f t="shared" si="26"/>
        <v>2</v>
      </c>
      <c r="H45" s="83">
        <f t="shared" si="26"/>
        <v>1</v>
      </c>
      <c r="I45" s="83">
        <f t="shared" si="26"/>
        <v>1.5</v>
      </c>
      <c r="J45" s="41"/>
    </row>
    <row r="46" ht="15.75" customHeight="1">
      <c r="B46" s="81" t="s">
        <v>48</v>
      </c>
      <c r="C46" s="82"/>
      <c r="D46" s="85">
        <v>7.0</v>
      </c>
      <c r="E46" s="85">
        <v>7.0</v>
      </c>
      <c r="F46" s="85">
        <v>7.0</v>
      </c>
      <c r="G46" s="85">
        <v>7.0</v>
      </c>
      <c r="H46" s="85">
        <v>7.0</v>
      </c>
      <c r="I46" s="85">
        <v>7.0</v>
      </c>
    </row>
    <row r="47" ht="15.75" customHeight="1">
      <c r="B47" s="81" t="s">
        <v>49</v>
      </c>
      <c r="C47" s="82"/>
      <c r="D47" s="86"/>
      <c r="E47" s="86"/>
      <c r="F47" s="86"/>
      <c r="G47" s="86"/>
      <c r="H47" s="86"/>
      <c r="I47" s="87"/>
    </row>
    <row r="48" ht="15.75" customHeight="1">
      <c r="B48" s="81" t="s">
        <v>50</v>
      </c>
      <c r="C48" s="82"/>
      <c r="D48" s="88">
        <v>5.4</v>
      </c>
      <c r="E48" s="88">
        <v>5.4</v>
      </c>
      <c r="F48" s="88">
        <v>5.4</v>
      </c>
      <c r="G48" s="88">
        <v>5.0</v>
      </c>
      <c r="H48" s="88">
        <v>4.0</v>
      </c>
      <c r="I48" s="88">
        <v>3.8</v>
      </c>
      <c r="J48" s="30">
        <v>11.0</v>
      </c>
    </row>
    <row r="49" ht="15.75" customHeight="1">
      <c r="B49" s="81" t="s">
        <v>51</v>
      </c>
      <c r="C49" s="82"/>
      <c r="D49" s="86"/>
      <c r="E49" s="86"/>
      <c r="F49" s="86"/>
      <c r="G49" s="86"/>
      <c r="H49" s="86"/>
      <c r="I49" s="87"/>
    </row>
    <row r="50" ht="15.75" customHeight="1">
      <c r="B50" s="81" t="s">
        <v>52</v>
      </c>
      <c r="C50" s="82"/>
      <c r="D50" s="83">
        <f t="shared" ref="D50:I50" si="27">(D46-D48)/D46</f>
        <v>0.2285714286</v>
      </c>
      <c r="E50" s="83">
        <f t="shared" si="27"/>
        <v>0.2285714286</v>
      </c>
      <c r="F50" s="83">
        <f t="shared" si="27"/>
        <v>0.2285714286</v>
      </c>
      <c r="G50" s="83">
        <f t="shared" si="27"/>
        <v>0.2857142857</v>
      </c>
      <c r="H50" s="83">
        <f t="shared" si="27"/>
        <v>0.4285714286</v>
      </c>
      <c r="I50" s="83">
        <f t="shared" si="27"/>
        <v>0.4571428571</v>
      </c>
      <c r="J50" s="30">
        <v>1.0</v>
      </c>
    </row>
    <row r="51" ht="15.75" customHeight="1">
      <c r="B51" s="81" t="s">
        <v>53</v>
      </c>
      <c r="C51" s="82"/>
      <c r="D51" s="89">
        <v>0.0</v>
      </c>
      <c r="E51" s="89">
        <f t="shared" ref="E51:I51" si="28">E52*E53</f>
        <v>39700</v>
      </c>
      <c r="F51" s="89">
        <f t="shared" si="28"/>
        <v>39700</v>
      </c>
      <c r="G51" s="89">
        <f t="shared" si="28"/>
        <v>79400</v>
      </c>
      <c r="H51" s="89">
        <f t="shared" si="28"/>
        <v>79400</v>
      </c>
      <c r="I51" s="90">
        <f t="shared" si="28"/>
        <v>119100</v>
      </c>
    </row>
    <row r="52" ht="15.75" customHeight="1">
      <c r="B52" s="81" t="s">
        <v>54</v>
      </c>
      <c r="C52" s="82"/>
      <c r="D52" s="91">
        <v>1.0</v>
      </c>
      <c r="E52" s="91">
        <v>1.0</v>
      </c>
      <c r="F52" s="91">
        <v>1.0</v>
      </c>
      <c r="G52" s="91">
        <v>1.0</v>
      </c>
      <c r="H52" s="91">
        <v>1.0</v>
      </c>
      <c r="I52" s="91">
        <v>1.0</v>
      </c>
      <c r="J52" s="30">
        <v>14.0</v>
      </c>
    </row>
    <row r="53" ht="15.75" customHeight="1">
      <c r="B53" s="81" t="s">
        <v>55</v>
      </c>
      <c r="C53" s="82"/>
      <c r="D53" s="89">
        <v>0.0</v>
      </c>
      <c r="E53" s="92">
        <f t="shared" ref="E53:I53" si="29">E54-D53</f>
        <v>39700</v>
      </c>
      <c r="F53" s="89">
        <f t="shared" si="29"/>
        <v>39700</v>
      </c>
      <c r="G53" s="89">
        <f t="shared" si="29"/>
        <v>79400</v>
      </c>
      <c r="H53" s="89">
        <f t="shared" si="29"/>
        <v>79400</v>
      </c>
      <c r="I53" s="89">
        <f t="shared" si="29"/>
        <v>119100</v>
      </c>
      <c r="J53" s="30">
        <v>12.0</v>
      </c>
    </row>
    <row r="54" ht="15.75" customHeight="1">
      <c r="B54" s="81" t="s">
        <v>56</v>
      </c>
      <c r="C54" s="82"/>
      <c r="D54" s="89">
        <v>0.0</v>
      </c>
      <c r="E54" s="89">
        <f t="shared" ref="E54:I54" si="30">1985000*E44</f>
        <v>39700</v>
      </c>
      <c r="F54" s="89">
        <f t="shared" si="30"/>
        <v>79400</v>
      </c>
      <c r="G54" s="89">
        <f t="shared" si="30"/>
        <v>119100</v>
      </c>
      <c r="H54" s="89">
        <f t="shared" si="30"/>
        <v>158800</v>
      </c>
      <c r="I54" s="89">
        <f t="shared" si="30"/>
        <v>198500</v>
      </c>
    </row>
    <row r="55" ht="15.75" customHeight="1">
      <c r="B55" s="12"/>
      <c r="I55" s="13"/>
    </row>
    <row r="56" ht="15.75" customHeight="1">
      <c r="B56" s="26" t="s">
        <v>57</v>
      </c>
      <c r="C56" s="27"/>
      <c r="D56" s="93"/>
      <c r="E56" s="93"/>
      <c r="F56" s="93"/>
      <c r="G56" s="93">
        <f t="shared" ref="G56:I56" si="31">G66/$O$10</f>
        <v>0.002190830816</v>
      </c>
      <c r="H56" s="93">
        <f t="shared" si="31"/>
        <v>0.004381661631</v>
      </c>
      <c r="I56" s="93">
        <f t="shared" si="31"/>
        <v>0.01314498489</v>
      </c>
      <c r="J56" s="30">
        <v>8.0</v>
      </c>
    </row>
    <row r="57" ht="15.75" customHeight="1">
      <c r="B57" s="26" t="s">
        <v>47</v>
      </c>
      <c r="C57" s="27"/>
      <c r="D57" s="93"/>
      <c r="E57" s="93"/>
      <c r="F57" s="93"/>
      <c r="G57" s="93"/>
      <c r="H57" s="93">
        <f t="shared" ref="H57:I57" si="32">H65/G65</f>
        <v>1</v>
      </c>
      <c r="I57" s="93">
        <f t="shared" si="32"/>
        <v>4</v>
      </c>
      <c r="J57" s="30">
        <v>9.0</v>
      </c>
    </row>
    <row r="58" ht="15.75" customHeight="1">
      <c r="B58" s="26" t="s">
        <v>58</v>
      </c>
      <c r="C58" s="27"/>
      <c r="D58" s="94"/>
      <c r="E58" s="94"/>
      <c r="F58" s="94"/>
      <c r="G58" s="95">
        <v>7.0</v>
      </c>
      <c r="H58" s="95">
        <v>7.0</v>
      </c>
      <c r="I58" s="95">
        <v>7.0</v>
      </c>
    </row>
    <row r="59" ht="15.75" customHeight="1">
      <c r="B59" s="26" t="s">
        <v>49</v>
      </c>
      <c r="C59" s="27"/>
      <c r="D59" s="86"/>
      <c r="E59" s="86"/>
      <c r="F59" s="86"/>
      <c r="G59" s="86"/>
      <c r="H59" s="86"/>
      <c r="I59" s="87"/>
    </row>
    <row r="60" ht="15.75" customHeight="1">
      <c r="B60" s="26" t="s">
        <v>59</v>
      </c>
      <c r="C60" s="27"/>
      <c r="D60" s="94"/>
      <c r="E60" s="94"/>
      <c r="F60" s="94"/>
      <c r="G60" s="95">
        <v>5.0</v>
      </c>
      <c r="H60" s="95">
        <v>4.0</v>
      </c>
      <c r="I60" s="96">
        <v>3.8</v>
      </c>
    </row>
    <row r="61" ht="15.75" customHeight="1">
      <c r="B61" s="26" t="s">
        <v>51</v>
      </c>
      <c r="C61" s="27"/>
      <c r="D61" s="86"/>
      <c r="E61" s="86"/>
      <c r="F61" s="86"/>
      <c r="G61" s="86"/>
      <c r="H61" s="86"/>
      <c r="I61" s="87"/>
    </row>
    <row r="62" ht="15.75" customHeight="1">
      <c r="B62" s="26" t="s">
        <v>60</v>
      </c>
      <c r="C62" s="27"/>
      <c r="D62" s="93"/>
      <c r="E62" s="93"/>
      <c r="F62" s="93"/>
      <c r="G62" s="93">
        <f t="shared" ref="G62:I62" si="33">(G58-G60)/G58</f>
        <v>0.2857142857</v>
      </c>
      <c r="H62" s="93">
        <f t="shared" si="33"/>
        <v>0.4285714286</v>
      </c>
      <c r="I62" s="93">
        <f t="shared" si="33"/>
        <v>0.4571428571</v>
      </c>
    </row>
    <row r="63" ht="15.75" customHeight="1">
      <c r="B63" s="26" t="s">
        <v>61</v>
      </c>
      <c r="C63" s="27"/>
      <c r="D63" s="97"/>
      <c r="E63" s="97"/>
      <c r="F63" s="97"/>
      <c r="G63" s="98"/>
      <c r="H63" s="98">
        <f t="shared" ref="H63:I63" si="34">H64*H65</f>
        <v>725165</v>
      </c>
      <c r="I63" s="98">
        <f t="shared" si="34"/>
        <v>2900660</v>
      </c>
    </row>
    <row r="64" ht="15.75" customHeight="1">
      <c r="B64" s="26" t="s">
        <v>62</v>
      </c>
      <c r="C64" s="27"/>
      <c r="D64" s="97"/>
      <c r="E64" s="97"/>
      <c r="F64" s="97"/>
      <c r="G64" s="98">
        <v>1.0</v>
      </c>
      <c r="H64" s="98">
        <v>1.0</v>
      </c>
      <c r="I64" s="99">
        <v>1.0</v>
      </c>
      <c r="J64" s="30">
        <v>15.0</v>
      </c>
    </row>
    <row r="65" ht="15.75" customHeight="1">
      <c r="B65" s="26" t="s">
        <v>63</v>
      </c>
      <c r="C65" s="27"/>
      <c r="D65" s="97"/>
      <c r="E65" s="100"/>
      <c r="F65" s="97"/>
      <c r="G65" s="98">
        <f t="shared" ref="G65:H65" si="35">(207190*0.01)/2*3500*0.2</f>
        <v>725165</v>
      </c>
      <c r="H65" s="98">
        <f t="shared" si="35"/>
        <v>725165</v>
      </c>
      <c r="I65" s="99">
        <f>207190*0.01*3500*0.2*2</f>
        <v>2900660</v>
      </c>
      <c r="J65" s="30">
        <v>10.0</v>
      </c>
    </row>
    <row r="66" ht="15.75" customHeight="1">
      <c r="B66" s="26" t="s">
        <v>64</v>
      </c>
      <c r="C66" s="27"/>
      <c r="D66" s="97"/>
      <c r="E66" s="97"/>
      <c r="F66" s="97"/>
      <c r="G66" s="98">
        <f t="shared" ref="G66:I66" si="36">F66+G65</f>
        <v>725165</v>
      </c>
      <c r="H66" s="98">
        <f t="shared" si="36"/>
        <v>1450330</v>
      </c>
      <c r="I66" s="98">
        <f t="shared" si="36"/>
        <v>4350990</v>
      </c>
    </row>
    <row r="67" ht="15.75" hidden="1" customHeight="1">
      <c r="B67" s="12"/>
      <c r="I67" s="101"/>
    </row>
    <row r="68" ht="15.75" hidden="1" customHeight="1">
      <c r="B68" s="102" t="s">
        <v>65</v>
      </c>
      <c r="C68" s="103"/>
      <c r="D68" s="104"/>
      <c r="E68" s="104"/>
      <c r="F68" s="104"/>
      <c r="G68" s="104"/>
      <c r="H68" s="104"/>
      <c r="I68" s="105"/>
    </row>
    <row r="69" ht="15.75" hidden="1" customHeight="1">
      <c r="B69" s="102" t="s">
        <v>47</v>
      </c>
      <c r="C69" s="103"/>
      <c r="D69" s="104"/>
      <c r="E69" s="104"/>
      <c r="F69" s="104"/>
      <c r="G69" s="104"/>
      <c r="H69" s="104"/>
      <c r="I69" s="105"/>
    </row>
    <row r="70" ht="15.75" hidden="1" customHeight="1">
      <c r="B70" s="102" t="s">
        <v>66</v>
      </c>
      <c r="C70" s="103"/>
      <c r="D70" s="106"/>
      <c r="E70" s="106"/>
      <c r="F70" s="106"/>
      <c r="G70" s="106"/>
      <c r="H70" s="106"/>
      <c r="I70" s="107"/>
    </row>
    <row r="71" ht="15.75" hidden="1" customHeight="1">
      <c r="B71" s="102" t="s">
        <v>49</v>
      </c>
      <c r="C71" s="103"/>
      <c r="D71" s="86"/>
      <c r="E71" s="86"/>
      <c r="F71" s="86"/>
      <c r="G71" s="86"/>
      <c r="H71" s="86"/>
      <c r="I71" s="108"/>
    </row>
    <row r="72" ht="15.75" hidden="1" customHeight="1">
      <c r="B72" s="102" t="s">
        <v>67</v>
      </c>
      <c r="C72" s="103"/>
      <c r="D72" s="106"/>
      <c r="E72" s="106"/>
      <c r="F72" s="106"/>
      <c r="G72" s="106"/>
      <c r="H72" s="106"/>
      <c r="I72" s="107"/>
    </row>
    <row r="73" ht="15.75" hidden="1" customHeight="1">
      <c r="B73" s="102" t="s">
        <v>51</v>
      </c>
      <c r="C73" s="103"/>
      <c r="D73" s="86"/>
      <c r="E73" s="86"/>
      <c r="F73" s="86"/>
      <c r="G73" s="86"/>
      <c r="H73" s="86"/>
      <c r="I73" s="108"/>
    </row>
    <row r="74" ht="15.75" hidden="1" customHeight="1">
      <c r="B74" s="102" t="s">
        <v>68</v>
      </c>
      <c r="C74" s="103"/>
      <c r="D74" s="104"/>
      <c r="E74" s="104"/>
      <c r="F74" s="104"/>
      <c r="G74" s="104"/>
      <c r="H74" s="104"/>
      <c r="I74" s="105"/>
    </row>
    <row r="75" ht="15.75" hidden="1" customHeight="1">
      <c r="B75" s="102" t="s">
        <v>69</v>
      </c>
      <c r="C75" s="103"/>
      <c r="D75" s="109"/>
      <c r="E75" s="109"/>
      <c r="F75" s="109"/>
      <c r="G75" s="109"/>
      <c r="H75" s="109"/>
      <c r="I75" s="110"/>
    </row>
    <row r="76" ht="15.75" hidden="1" customHeight="1">
      <c r="B76" s="102" t="s">
        <v>70</v>
      </c>
      <c r="C76" s="103"/>
      <c r="D76" s="109"/>
      <c r="E76" s="109"/>
      <c r="F76" s="109"/>
      <c r="G76" s="109"/>
      <c r="H76" s="109"/>
      <c r="I76" s="110"/>
    </row>
    <row r="77" ht="15.75" hidden="1" customHeight="1">
      <c r="B77" s="102" t="s">
        <v>71</v>
      </c>
      <c r="C77" s="103"/>
      <c r="D77" s="109"/>
      <c r="E77" s="100"/>
      <c r="F77" s="109"/>
      <c r="G77" s="109"/>
      <c r="H77" s="109"/>
      <c r="I77" s="110"/>
    </row>
    <row r="78" ht="15.75" hidden="1" customHeight="1">
      <c r="B78" s="111" t="s">
        <v>72</v>
      </c>
      <c r="C78" s="112"/>
      <c r="D78" s="113"/>
      <c r="E78" s="113"/>
      <c r="F78" s="113"/>
      <c r="G78" s="113"/>
      <c r="H78" s="113"/>
      <c r="I78" s="114"/>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I2"/>
    <mergeCell ref="D5:I5"/>
    <mergeCell ref="K7:L7"/>
    <mergeCell ref="C42:I4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6" width="10.71"/>
    <col customWidth="1" min="37" max="37" width="80.43"/>
    <col customWidth="1" min="38" max="39" width="10.71"/>
  </cols>
  <sheetData>
    <row r="1">
      <c r="A1" s="30">
        <v>1.0</v>
      </c>
      <c r="B1" s="30" t="s">
        <v>73</v>
      </c>
    </row>
    <row r="2">
      <c r="A2" s="30">
        <v>2.0</v>
      </c>
      <c r="B2" s="30" t="s">
        <v>74</v>
      </c>
      <c r="P2" s="115" t="s">
        <v>75</v>
      </c>
    </row>
    <row r="3">
      <c r="A3" s="30">
        <v>3.0</v>
      </c>
      <c r="B3" s="30" t="s">
        <v>76</v>
      </c>
    </row>
    <row r="4">
      <c r="A4" s="30">
        <v>4.0</v>
      </c>
      <c r="B4" s="30" t="s">
        <v>77</v>
      </c>
      <c r="Q4" s="115" t="s">
        <v>78</v>
      </c>
      <c r="W4" s="30" t="s">
        <v>79</v>
      </c>
    </row>
    <row r="5">
      <c r="A5" s="30">
        <v>5.0</v>
      </c>
      <c r="B5" s="30" t="s">
        <v>80</v>
      </c>
      <c r="L5" s="115" t="s">
        <v>81</v>
      </c>
    </row>
    <row r="6">
      <c r="A6" s="30">
        <v>6.0</v>
      </c>
      <c r="B6" s="30" t="s">
        <v>82</v>
      </c>
    </row>
    <row r="7">
      <c r="A7" s="30">
        <v>7.0</v>
      </c>
      <c r="B7" s="30" t="s">
        <v>83</v>
      </c>
      <c r="AM7" s="115" t="s">
        <v>84</v>
      </c>
    </row>
    <row r="8">
      <c r="A8" s="30">
        <v>8.0</v>
      </c>
      <c r="B8" s="30" t="s">
        <v>85</v>
      </c>
      <c r="AE8" s="115" t="s">
        <v>86</v>
      </c>
    </row>
    <row r="9">
      <c r="A9" s="30">
        <v>9.0</v>
      </c>
      <c r="B9" s="30" t="s">
        <v>87</v>
      </c>
    </row>
    <row r="10">
      <c r="A10" s="30">
        <v>10.0</v>
      </c>
      <c r="B10" s="30" t="s">
        <v>88</v>
      </c>
      <c r="H10" s="115"/>
      <c r="P10" s="115" t="s">
        <v>89</v>
      </c>
      <c r="W10" s="115" t="s">
        <v>90</v>
      </c>
    </row>
    <row r="11">
      <c r="A11" s="30">
        <v>11.0</v>
      </c>
      <c r="B11" s="116" t="s">
        <v>91</v>
      </c>
    </row>
    <row r="12">
      <c r="A12" s="30">
        <v>12.0</v>
      </c>
      <c r="B12" s="116" t="s">
        <v>92</v>
      </c>
      <c r="AK12" s="117" t="s">
        <v>93</v>
      </c>
      <c r="AL12" s="115" t="s">
        <v>94</v>
      </c>
    </row>
    <row r="13">
      <c r="A13" s="30">
        <v>13.0</v>
      </c>
      <c r="B13" s="118" t="s">
        <v>95</v>
      </c>
      <c r="T13" s="115" t="s">
        <v>96</v>
      </c>
    </row>
    <row r="14">
      <c r="A14" s="30">
        <v>14.0</v>
      </c>
      <c r="B14" s="119" t="s">
        <v>97</v>
      </c>
      <c r="Z14" s="120" t="s">
        <v>98</v>
      </c>
    </row>
    <row r="15">
      <c r="A15" s="30">
        <v>15.0</v>
      </c>
      <c r="B15" s="116" t="s">
        <v>99</v>
      </c>
    </row>
    <row r="16">
      <c r="A16" s="30">
        <v>16.0</v>
      </c>
      <c r="B16" s="30" t="s">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P2"/>
    <hyperlink r:id="rId2" ref="Q4"/>
    <hyperlink r:id="rId3" ref="L5"/>
    <hyperlink r:id="rId4" ref="AM7"/>
    <hyperlink r:id="rId5" ref="AE8"/>
    <hyperlink r:id="rId6" ref="P10"/>
    <hyperlink r:id="rId7" ref="W10"/>
    <hyperlink r:id="rId8" ref="AK12"/>
    <hyperlink r:id="rId9" ref="AL12"/>
    <hyperlink r:id="rId10" location=":~:text=market%20penetration%205%25.-,What%20is%20a%20good%20rate%20of%20market%20penetration%3F,already%20doing%20better%20than%20most" ref="T13"/>
    <hyperlink r:id="rId11" ref="Z14"/>
  </hyperlinks>
  <printOptions/>
  <pageMargins bottom="0.75" footer="0.0" header="0.0" left="0.7" right="0.7" top="0.75"/>
  <pageSetup orientation="landscape"/>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1.14"/>
  </cols>
  <sheetData>
    <row r="3">
      <c r="C3" s="121">
        <v>1.0</v>
      </c>
      <c r="D3" s="121">
        <v>2.0</v>
      </c>
      <c r="E3" s="121">
        <v>3.0</v>
      </c>
      <c r="F3" s="121">
        <v>4.0</v>
      </c>
      <c r="G3" s="121">
        <v>5.0</v>
      </c>
      <c r="H3" s="121">
        <v>6.0</v>
      </c>
    </row>
    <row r="4">
      <c r="B4" s="12" t="s">
        <v>5</v>
      </c>
      <c r="C4" s="122">
        <f>'NanoPik Five Year NI Statement'!D7</f>
        <v>0</v>
      </c>
      <c r="D4" s="122">
        <f>'NanoPik Five Year NI Statement'!E7</f>
        <v>277900</v>
      </c>
      <c r="E4" s="122">
        <f>'NanoPik Five Year NI Statement'!F7</f>
        <v>277900</v>
      </c>
      <c r="F4" s="122">
        <f>'NanoPik Five Year NI Statement'!G7</f>
        <v>555800</v>
      </c>
      <c r="G4" s="122">
        <f>'NanoPik Five Year NI Statement'!H7</f>
        <v>5631955</v>
      </c>
      <c r="H4" s="122">
        <f>'NanoPik Five Year NI Statement'!I7</f>
        <v>21138320</v>
      </c>
    </row>
    <row r="5">
      <c r="B5" s="12" t="s">
        <v>15</v>
      </c>
      <c r="C5" s="122">
        <f>'NanoPik Five Year NI Statement'!D11</f>
        <v>0</v>
      </c>
      <c r="D5" s="122">
        <f>'NanoPik Five Year NI Statement'!E11</f>
        <v>214380</v>
      </c>
      <c r="E5" s="122">
        <f>'NanoPik Five Year NI Statement'!F11</f>
        <v>214380</v>
      </c>
      <c r="F5" s="122">
        <f>'NanoPik Five Year NI Statement'!G11</f>
        <v>397000</v>
      </c>
      <c r="G5" s="122">
        <f>'NanoPik Five Year NI Statement'!H11</f>
        <v>3218260</v>
      </c>
      <c r="H5" s="122">
        <f>'NanoPik Five Year NI Statement'!I11</f>
        <v>11475088</v>
      </c>
    </row>
    <row r="6">
      <c r="B6" s="123" t="s">
        <v>23</v>
      </c>
      <c r="C6" s="122">
        <f>'NanoPik Five Year NI Statement'!D15</f>
        <v>0</v>
      </c>
      <c r="D6" s="122">
        <f>'NanoPik Five Year NI Statement'!E15</f>
        <v>63520</v>
      </c>
      <c r="E6" s="122">
        <f>'NanoPik Five Year NI Statement'!F15</f>
        <v>63520</v>
      </c>
      <c r="F6" s="122">
        <f>'NanoPik Five Year NI Statement'!G15</f>
        <v>158800</v>
      </c>
      <c r="G6" s="122">
        <f>'NanoPik Five Year NI Statement'!H15</f>
        <v>2413695</v>
      </c>
      <c r="H6" s="122">
        <f>'NanoPik Five Year NI Statement'!I15</f>
        <v>9663232</v>
      </c>
    </row>
    <row r="7">
      <c r="B7" s="116" t="s">
        <v>32</v>
      </c>
      <c r="C7" s="122">
        <f>'NanoPik Five Year NI Statement'!D24</f>
        <v>-120608.6</v>
      </c>
      <c r="D7" s="122">
        <f>'NanoPik Five Year NI Statement'!E24</f>
        <v>-2217.245</v>
      </c>
      <c r="E7" s="122">
        <f>'NanoPik Five Year NI Statement'!F24</f>
        <v>-2217.245</v>
      </c>
      <c r="F7" s="122">
        <f>'NanoPik Five Year NI Statement'!G24</f>
        <v>27325.51</v>
      </c>
      <c r="G7" s="122">
        <f>'NanoPik Five Year NI Statement'!H24</f>
        <v>1081456.045</v>
      </c>
      <c r="H7" s="122">
        <f>'NanoPik Five Year NI Statement'!I24</f>
        <v>4662962.404</v>
      </c>
    </row>
    <row r="8">
      <c r="B8" s="54" t="s">
        <v>38</v>
      </c>
      <c r="C8" s="124">
        <f>'NanoPik Five Year NI Statement'!D30</f>
        <v>-120608.6</v>
      </c>
      <c r="D8" s="124">
        <f>'NanoPik Five Year NI Statement'!E30</f>
        <v>-9655.09955</v>
      </c>
      <c r="E8" s="124">
        <f>'NanoPik Five Year NI Statement'!F30</f>
        <v>-9655.09955</v>
      </c>
      <c r="F8" s="124">
        <f>'NanoPik Five Year NI Statement'!G30</f>
        <v>5780.2009</v>
      </c>
      <c r="G8" s="124">
        <f>'NanoPik Five Year NI Statement'!H30</f>
        <v>694177.4752</v>
      </c>
      <c r="H8" s="124">
        <f>'NanoPik Five Year NI Statement'!I30</f>
        <v>3082566.478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0.0"/>
    <col customWidth="1" min="3" max="3" width="8.86"/>
    <col customWidth="1" min="4" max="4" width="14.71"/>
    <col customWidth="1" min="5" max="6" width="15.71"/>
    <col customWidth="1" min="7" max="9" width="16.71"/>
    <col customWidth="1" min="10" max="11" width="8.86"/>
    <col customWidth="1" min="12" max="12" width="24.86"/>
    <col customWidth="1" min="13" max="13" width="9.14"/>
    <col customWidth="1" min="14" max="15" width="10.43"/>
    <col customWidth="1" min="16" max="26" width="8.86"/>
  </cols>
  <sheetData>
    <row r="2">
      <c r="B2" s="125" t="s">
        <v>101</v>
      </c>
    </row>
    <row r="3">
      <c r="B3" s="2" t="s">
        <v>102</v>
      </c>
      <c r="C3" s="3"/>
      <c r="D3" s="3"/>
    </row>
    <row r="4">
      <c r="B4" s="3"/>
      <c r="C4" s="3"/>
      <c r="D4" s="3"/>
    </row>
    <row r="5">
      <c r="B5" s="4" t="s">
        <v>3</v>
      </c>
      <c r="C5" s="5"/>
      <c r="D5" s="6" t="s">
        <v>4</v>
      </c>
      <c r="E5" s="7"/>
      <c r="F5" s="7"/>
      <c r="G5" s="7"/>
      <c r="H5" s="7"/>
      <c r="I5" s="8"/>
    </row>
    <row r="6">
      <c r="B6" s="9"/>
      <c r="C6" s="10"/>
      <c r="D6" s="10">
        <v>1.0</v>
      </c>
      <c r="E6" s="10">
        <v>2.0</v>
      </c>
      <c r="F6" s="10">
        <v>3.0</v>
      </c>
      <c r="G6" s="10">
        <v>4.0</v>
      </c>
      <c r="H6" s="10">
        <v>5.0</v>
      </c>
      <c r="I6" s="11">
        <v>6.0</v>
      </c>
    </row>
    <row r="7">
      <c r="B7" s="12" t="s">
        <v>5</v>
      </c>
      <c r="C7" s="13"/>
      <c r="D7" s="14">
        <f t="shared" ref="D7:I7" si="1">D8+D9+D10</f>
        <v>0</v>
      </c>
      <c r="E7" s="14">
        <f t="shared" si="1"/>
        <v>6800000</v>
      </c>
      <c r="F7" s="14">
        <f t="shared" si="1"/>
        <v>6112500</v>
      </c>
      <c r="G7" s="14">
        <f t="shared" si="1"/>
        <v>10605000</v>
      </c>
      <c r="H7" s="14">
        <f t="shared" si="1"/>
        <v>15568875</v>
      </c>
      <c r="I7" s="15">
        <f t="shared" si="1"/>
        <v>32761968.75</v>
      </c>
      <c r="K7" s="16" t="s">
        <v>6</v>
      </c>
      <c r="L7" s="17"/>
      <c r="M7" s="18"/>
      <c r="N7" s="19" t="s">
        <v>7</v>
      </c>
      <c r="O7" s="20" t="s">
        <v>8</v>
      </c>
    </row>
    <row r="8">
      <c r="B8" s="12" t="s">
        <v>9</v>
      </c>
      <c r="C8" s="13"/>
      <c r="D8" s="14">
        <f t="shared" ref="D8:I8" si="2">D46*D51</f>
        <v>0</v>
      </c>
      <c r="E8" s="14">
        <f t="shared" si="2"/>
        <v>2400000</v>
      </c>
      <c r="F8" s="14">
        <f t="shared" si="2"/>
        <v>2025000</v>
      </c>
      <c r="G8" s="14">
        <f t="shared" si="2"/>
        <v>3240000</v>
      </c>
      <c r="H8" s="14">
        <f t="shared" si="2"/>
        <v>4536000</v>
      </c>
      <c r="I8" s="15">
        <f t="shared" si="2"/>
        <v>9072000</v>
      </c>
      <c r="K8" s="21" t="s">
        <v>10</v>
      </c>
      <c r="L8" s="22"/>
      <c r="M8" s="23">
        <f>I54</f>
        <v>262.05</v>
      </c>
      <c r="N8" s="24">
        <f t="shared" ref="N8:N14" si="4">M8/O8</f>
        <v>0.08735</v>
      </c>
      <c r="O8" s="25">
        <v>3000.0</v>
      </c>
    </row>
    <row r="9">
      <c r="B9" s="12" t="s">
        <v>11</v>
      </c>
      <c r="C9" s="13"/>
      <c r="D9" s="14">
        <f t="shared" ref="D9:I9" si="3">D58*D63</f>
        <v>0</v>
      </c>
      <c r="E9" s="14">
        <f t="shared" si="3"/>
        <v>2400000</v>
      </c>
      <c r="F9" s="14">
        <f t="shared" si="3"/>
        <v>2025000</v>
      </c>
      <c r="G9" s="14">
        <f t="shared" si="3"/>
        <v>3240000</v>
      </c>
      <c r="H9" s="14">
        <f t="shared" si="3"/>
        <v>4536000</v>
      </c>
      <c r="I9" s="15">
        <f t="shared" si="3"/>
        <v>9072000</v>
      </c>
      <c r="K9" s="21" t="s">
        <v>12</v>
      </c>
      <c r="L9" s="22"/>
      <c r="M9" s="23">
        <f>M8*D52</f>
        <v>524.1</v>
      </c>
      <c r="N9" s="24">
        <f t="shared" si="4"/>
        <v>0.08735</v>
      </c>
      <c r="O9" s="25">
        <f>O8*D52</f>
        <v>6000</v>
      </c>
    </row>
    <row r="10">
      <c r="B10" s="12" t="s">
        <v>13</v>
      </c>
      <c r="C10" s="13"/>
      <c r="D10" s="14">
        <f t="shared" ref="D10:I10" si="5">D70*D75</f>
        <v>0</v>
      </c>
      <c r="E10" s="14">
        <f t="shared" si="5"/>
        <v>2000000</v>
      </c>
      <c r="F10" s="14">
        <f t="shared" si="5"/>
        <v>2062500</v>
      </c>
      <c r="G10" s="14">
        <f t="shared" si="5"/>
        <v>4125000</v>
      </c>
      <c r="H10" s="14">
        <f t="shared" si="5"/>
        <v>6496875</v>
      </c>
      <c r="I10" s="15">
        <f t="shared" si="5"/>
        <v>14617968.75</v>
      </c>
      <c r="K10" s="26" t="s">
        <v>14</v>
      </c>
      <c r="L10" s="27"/>
      <c r="M10" s="28">
        <f>I66</f>
        <v>262.05</v>
      </c>
      <c r="N10" s="24">
        <f t="shared" si="4"/>
        <v>0.043675</v>
      </c>
      <c r="O10" s="29">
        <v>6000.0</v>
      </c>
    </row>
    <row r="11">
      <c r="B11" s="12" t="s">
        <v>15</v>
      </c>
      <c r="C11" s="13"/>
      <c r="D11" s="14">
        <f t="shared" ref="D11:I11" si="6">D12+D13+D14</f>
        <v>0</v>
      </c>
      <c r="E11" s="14">
        <f t="shared" si="6"/>
        <v>4250000</v>
      </c>
      <c r="F11" s="14">
        <f t="shared" si="6"/>
        <v>3667500</v>
      </c>
      <c r="G11" s="14">
        <f t="shared" si="6"/>
        <v>6363000</v>
      </c>
      <c r="H11" s="14">
        <f t="shared" si="6"/>
        <v>6672375</v>
      </c>
      <c r="I11" s="15">
        <f t="shared" si="6"/>
        <v>14040843.75</v>
      </c>
      <c r="K11" s="26" t="s">
        <v>16</v>
      </c>
      <c r="L11" s="27"/>
      <c r="M11" s="28">
        <f>M10*D64</f>
        <v>524.1</v>
      </c>
      <c r="N11" s="24">
        <f t="shared" si="4"/>
        <v>0.043675</v>
      </c>
      <c r="O11" s="29">
        <f>O10*D64</f>
        <v>12000</v>
      </c>
    </row>
    <row r="12">
      <c r="B12" s="12" t="s">
        <v>17</v>
      </c>
      <c r="C12" s="13"/>
      <c r="D12" s="14">
        <f t="shared" ref="D12:I12" si="7">D48*D51</f>
        <v>0</v>
      </c>
      <c r="E12" s="14">
        <f t="shared" si="7"/>
        <v>1500000</v>
      </c>
      <c r="F12" s="14">
        <f t="shared" si="7"/>
        <v>1215000</v>
      </c>
      <c r="G12" s="14">
        <f t="shared" si="7"/>
        <v>1944000</v>
      </c>
      <c r="H12" s="14">
        <f t="shared" si="7"/>
        <v>1944000</v>
      </c>
      <c r="I12" s="15">
        <f t="shared" si="7"/>
        <v>3888000</v>
      </c>
      <c r="K12" s="31" t="s">
        <v>18</v>
      </c>
      <c r="L12" s="32"/>
      <c r="M12" s="33">
        <f>I78</f>
        <v>752.03125</v>
      </c>
      <c r="N12" s="24">
        <f t="shared" si="4"/>
        <v>0.05013541667</v>
      </c>
      <c r="O12" s="34">
        <v>15000.0</v>
      </c>
    </row>
    <row r="13">
      <c r="B13" s="12" t="s">
        <v>19</v>
      </c>
      <c r="C13" s="13"/>
      <c r="D13" s="14">
        <f t="shared" ref="D13:I13" si="8">D60*D63</f>
        <v>0</v>
      </c>
      <c r="E13" s="14">
        <f t="shared" si="8"/>
        <v>1500000</v>
      </c>
      <c r="F13" s="14">
        <f t="shared" si="8"/>
        <v>1215000</v>
      </c>
      <c r="G13" s="14">
        <f t="shared" si="8"/>
        <v>1944000</v>
      </c>
      <c r="H13" s="14">
        <f t="shared" si="8"/>
        <v>1944000</v>
      </c>
      <c r="I13" s="15">
        <f t="shared" si="8"/>
        <v>3888000</v>
      </c>
      <c r="K13" s="31" t="s">
        <v>20</v>
      </c>
      <c r="L13" s="32"/>
      <c r="M13" s="33">
        <f>M12*D76</f>
        <v>752.03125</v>
      </c>
      <c r="N13" s="24">
        <f t="shared" si="4"/>
        <v>0.05013541667</v>
      </c>
      <c r="O13" s="34">
        <f>O12*D76</f>
        <v>15000</v>
      </c>
    </row>
    <row r="14">
      <c r="B14" s="12" t="s">
        <v>21</v>
      </c>
      <c r="C14" s="13"/>
      <c r="D14" s="14">
        <f t="shared" ref="D14:I14" si="9">D72*D75</f>
        <v>0</v>
      </c>
      <c r="E14" s="14">
        <f t="shared" si="9"/>
        <v>1250000</v>
      </c>
      <c r="F14" s="14">
        <f t="shared" si="9"/>
        <v>1237500</v>
      </c>
      <c r="G14" s="14">
        <f t="shared" si="9"/>
        <v>2475000</v>
      </c>
      <c r="H14" s="14">
        <f t="shared" si="9"/>
        <v>2784375</v>
      </c>
      <c r="I14" s="15">
        <f t="shared" si="9"/>
        <v>6264843.75</v>
      </c>
      <c r="K14" s="36" t="s">
        <v>22</v>
      </c>
      <c r="L14" s="37"/>
      <c r="M14" s="38">
        <f>M9+M11+M13</f>
        <v>1800.23125</v>
      </c>
      <c r="N14" s="39">
        <f t="shared" si="4"/>
        <v>0.05455246212</v>
      </c>
      <c r="O14" s="40">
        <f>O9+O11+O13</f>
        <v>33000</v>
      </c>
    </row>
    <row r="15">
      <c r="B15" s="12" t="s">
        <v>23</v>
      </c>
      <c r="C15" s="13"/>
      <c r="D15" s="14">
        <f t="shared" ref="D15:I15" si="10">D7-D11</f>
        <v>0</v>
      </c>
      <c r="E15" s="14">
        <f t="shared" si="10"/>
        <v>2550000</v>
      </c>
      <c r="F15" s="14">
        <f t="shared" si="10"/>
        <v>2445000</v>
      </c>
      <c r="G15" s="14">
        <f t="shared" si="10"/>
        <v>4242000</v>
      </c>
      <c r="H15" s="14">
        <f t="shared" si="10"/>
        <v>8896500</v>
      </c>
      <c r="I15" s="15">
        <f t="shared" si="10"/>
        <v>18721125</v>
      </c>
    </row>
    <row r="16">
      <c r="B16" s="12" t="s">
        <v>24</v>
      </c>
      <c r="C16" s="13"/>
      <c r="D16" s="41">
        <v>0.0</v>
      </c>
      <c r="E16" s="41">
        <f t="shared" ref="E16:I16" si="11">E15/E7</f>
        <v>0.375</v>
      </c>
      <c r="F16" s="41">
        <f t="shared" si="11"/>
        <v>0.4</v>
      </c>
      <c r="G16" s="41">
        <f t="shared" si="11"/>
        <v>0.4</v>
      </c>
      <c r="H16" s="41">
        <f t="shared" si="11"/>
        <v>0.5714285714</v>
      </c>
      <c r="I16" s="126">
        <f t="shared" si="11"/>
        <v>0.5714285714</v>
      </c>
    </row>
    <row r="17">
      <c r="B17" s="12" t="s">
        <v>25</v>
      </c>
      <c r="C17" s="13"/>
      <c r="D17" s="14">
        <v>3000000.0</v>
      </c>
      <c r="E17" s="14">
        <v>1500000.0</v>
      </c>
      <c r="F17" s="14">
        <v>0.0</v>
      </c>
      <c r="G17" s="14">
        <v>0.0</v>
      </c>
      <c r="H17" s="14">
        <v>0.0</v>
      </c>
      <c r="I17" s="15">
        <v>0.0</v>
      </c>
    </row>
    <row r="18">
      <c r="B18" s="12" t="s">
        <v>26</v>
      </c>
      <c r="C18" s="13"/>
      <c r="D18" s="30">
        <v>0.0</v>
      </c>
      <c r="E18" s="14">
        <f t="shared" ref="E18:I18" si="12">E7*$E$37</f>
        <v>476000</v>
      </c>
      <c r="F18" s="14">
        <f t="shared" si="12"/>
        <v>427875</v>
      </c>
      <c r="G18" s="14">
        <f t="shared" si="12"/>
        <v>742350</v>
      </c>
      <c r="H18" s="14">
        <f t="shared" si="12"/>
        <v>1089821.25</v>
      </c>
      <c r="I18" s="15">
        <f t="shared" si="12"/>
        <v>2293337.813</v>
      </c>
    </row>
    <row r="19">
      <c r="B19" s="12" t="s">
        <v>27</v>
      </c>
      <c r="C19" s="13"/>
      <c r="D19" s="43">
        <v>2500000.0</v>
      </c>
      <c r="E19" s="14">
        <f t="shared" ref="E19:I19" si="13">E7*$E$38</f>
        <v>2380000</v>
      </c>
      <c r="F19" s="14">
        <f t="shared" si="13"/>
        <v>2139375</v>
      </c>
      <c r="G19" s="14">
        <f t="shared" si="13"/>
        <v>3711750</v>
      </c>
      <c r="H19" s="14">
        <f t="shared" si="13"/>
        <v>5449106.25</v>
      </c>
      <c r="I19" s="15">
        <f t="shared" si="13"/>
        <v>11466689.06</v>
      </c>
    </row>
    <row r="20">
      <c r="B20" s="12" t="s">
        <v>28</v>
      </c>
      <c r="C20" s="13"/>
      <c r="I20" s="101"/>
    </row>
    <row r="21" ht="15.75" customHeight="1">
      <c r="B21" s="12" t="s">
        <v>29</v>
      </c>
      <c r="C21" s="44">
        <v>0.08</v>
      </c>
      <c r="D21" s="14">
        <f t="shared" ref="D21:I21" si="14">$C$21*D7</f>
        <v>0</v>
      </c>
      <c r="E21" s="14">
        <f t="shared" si="14"/>
        <v>544000</v>
      </c>
      <c r="F21" s="14">
        <f t="shared" si="14"/>
        <v>489000</v>
      </c>
      <c r="G21" s="14">
        <f t="shared" si="14"/>
        <v>848400</v>
      </c>
      <c r="H21" s="14">
        <f t="shared" si="14"/>
        <v>1245510</v>
      </c>
      <c r="I21" s="15">
        <f t="shared" si="14"/>
        <v>2620957.5</v>
      </c>
    </row>
    <row r="22" ht="15.75" customHeight="1">
      <c r="B22" s="12" t="s">
        <v>30</v>
      </c>
      <c r="C22" s="44">
        <v>0.05</v>
      </c>
      <c r="D22" s="45">
        <f t="shared" ref="D22:I22" si="15">$C$22*D11</f>
        <v>0</v>
      </c>
      <c r="E22" s="45">
        <f t="shared" si="15"/>
        <v>212500</v>
      </c>
      <c r="F22" s="45">
        <f t="shared" si="15"/>
        <v>183375</v>
      </c>
      <c r="G22" s="45">
        <f t="shared" si="15"/>
        <v>318150</v>
      </c>
      <c r="H22" s="45">
        <f t="shared" si="15"/>
        <v>333618.75</v>
      </c>
      <c r="I22" s="127">
        <f t="shared" si="15"/>
        <v>702042.1875</v>
      </c>
    </row>
    <row r="23" ht="15.75" customHeight="1">
      <c r="B23" s="12" t="s">
        <v>31</v>
      </c>
      <c r="C23" s="13"/>
      <c r="D23" s="14">
        <v>0.0</v>
      </c>
      <c r="E23" s="14">
        <v>1000000.0</v>
      </c>
      <c r="F23" s="14">
        <v>1000000.0</v>
      </c>
      <c r="G23" s="14">
        <v>0.0</v>
      </c>
      <c r="H23" s="14">
        <v>0.0</v>
      </c>
      <c r="I23" s="15">
        <v>0.0</v>
      </c>
    </row>
    <row r="24" ht="15.75" customHeight="1">
      <c r="B24" s="12" t="s">
        <v>32</v>
      </c>
      <c r="C24" s="13"/>
      <c r="D24" s="14">
        <f t="shared" ref="D24:I24" si="16">D7-D11-D18-D19-D21</f>
        <v>-2500000</v>
      </c>
      <c r="E24" s="14">
        <f t="shared" si="16"/>
        <v>-850000</v>
      </c>
      <c r="F24" s="14">
        <f t="shared" si="16"/>
        <v>-611250</v>
      </c>
      <c r="G24" s="14">
        <f t="shared" si="16"/>
        <v>-1060500</v>
      </c>
      <c r="H24" s="14">
        <f t="shared" si="16"/>
        <v>1112062.5</v>
      </c>
      <c r="I24" s="15">
        <f t="shared" si="16"/>
        <v>2340140.625</v>
      </c>
    </row>
    <row r="25" ht="15.75" customHeight="1">
      <c r="B25" s="12" t="s">
        <v>33</v>
      </c>
      <c r="C25" s="13"/>
      <c r="D25" s="43">
        <v>0.0</v>
      </c>
      <c r="E25" s="43">
        <v>0.0</v>
      </c>
      <c r="F25" s="43">
        <v>0.0</v>
      </c>
      <c r="G25" s="43">
        <v>0.0</v>
      </c>
      <c r="H25" s="43">
        <v>0.0</v>
      </c>
      <c r="I25" s="128">
        <v>0.0</v>
      </c>
    </row>
    <row r="26" ht="15.75" customHeight="1">
      <c r="B26" s="12" t="s">
        <v>34</v>
      </c>
      <c r="C26" s="13"/>
      <c r="D26" s="14">
        <f t="shared" ref="D26:I26" si="17">D24+D25</f>
        <v>-2500000</v>
      </c>
      <c r="E26" s="14">
        <f t="shared" si="17"/>
        <v>-850000</v>
      </c>
      <c r="F26" s="14">
        <f t="shared" si="17"/>
        <v>-611250</v>
      </c>
      <c r="G26" s="14">
        <f t="shared" si="17"/>
        <v>-1060500</v>
      </c>
      <c r="H26" s="14">
        <f t="shared" si="17"/>
        <v>1112062.5</v>
      </c>
      <c r="I26" s="15">
        <f t="shared" si="17"/>
        <v>2340140.625</v>
      </c>
    </row>
    <row r="27" ht="15.75" customHeight="1">
      <c r="B27" s="12" t="s">
        <v>35</v>
      </c>
      <c r="C27" s="13"/>
      <c r="D27" s="48">
        <v>0.0</v>
      </c>
      <c r="E27" s="48">
        <v>0.0</v>
      </c>
      <c r="F27" s="48">
        <v>0.0</v>
      </c>
      <c r="G27" s="48">
        <v>0.0</v>
      </c>
      <c r="H27" s="48">
        <v>0.0</v>
      </c>
      <c r="I27" s="129">
        <v>0.0</v>
      </c>
    </row>
    <row r="28" ht="15.75" customHeight="1">
      <c r="B28" s="12" t="s">
        <v>36</v>
      </c>
      <c r="C28" s="13"/>
      <c r="D28" s="14">
        <f t="shared" ref="D28:I28" si="18">D26-D27</f>
        <v>-2500000</v>
      </c>
      <c r="E28" s="14">
        <f t="shared" si="18"/>
        <v>-850000</v>
      </c>
      <c r="F28" s="14">
        <f t="shared" si="18"/>
        <v>-611250</v>
      </c>
      <c r="G28" s="14">
        <f t="shared" si="18"/>
        <v>-1060500</v>
      </c>
      <c r="H28" s="14">
        <f t="shared" si="18"/>
        <v>1112062.5</v>
      </c>
      <c r="I28" s="15">
        <f t="shared" si="18"/>
        <v>2340140.625</v>
      </c>
    </row>
    <row r="29" ht="15.75" customHeight="1">
      <c r="B29" s="12" t="s">
        <v>37</v>
      </c>
      <c r="C29" s="13"/>
      <c r="D29" s="51">
        <v>0.0</v>
      </c>
      <c r="E29" s="52">
        <f t="shared" ref="E29:I29" si="19">E28*$D$40</f>
        <v>-178500</v>
      </c>
      <c r="F29" s="52">
        <f t="shared" si="19"/>
        <v>-128362.5</v>
      </c>
      <c r="G29" s="52">
        <f t="shared" si="19"/>
        <v>-222705</v>
      </c>
      <c r="H29" s="52">
        <f t="shared" si="19"/>
        <v>233533.125</v>
      </c>
      <c r="I29" s="130">
        <f t="shared" si="19"/>
        <v>491429.5313</v>
      </c>
    </row>
    <row r="30" ht="15.75" customHeight="1">
      <c r="B30" s="54" t="s">
        <v>38</v>
      </c>
      <c r="C30" s="55"/>
      <c r="D30" s="56">
        <f t="shared" ref="D30:I30" si="20">D28-D29</f>
        <v>-2500000</v>
      </c>
      <c r="E30" s="56">
        <f t="shared" si="20"/>
        <v>-671500</v>
      </c>
      <c r="F30" s="56">
        <f t="shared" si="20"/>
        <v>-482887.5</v>
      </c>
      <c r="G30" s="56">
        <f t="shared" si="20"/>
        <v>-837795</v>
      </c>
      <c r="H30" s="56">
        <f t="shared" si="20"/>
        <v>878529.375</v>
      </c>
      <c r="I30" s="131">
        <f t="shared" si="20"/>
        <v>1848711.094</v>
      </c>
    </row>
    <row r="31" ht="15.75" customHeight="1"/>
    <row r="32" ht="15.75" customHeight="1">
      <c r="B32" s="58" t="s">
        <v>39</v>
      </c>
      <c r="C32" s="59"/>
      <c r="D32" s="60">
        <v>80000.0</v>
      </c>
      <c r="E32" s="60">
        <v>80000.0</v>
      </c>
      <c r="F32" s="60">
        <v>50000.0</v>
      </c>
      <c r="G32" s="60">
        <v>50000.0</v>
      </c>
      <c r="H32" s="60">
        <v>35000.0</v>
      </c>
      <c r="I32" s="132">
        <v>35000.0</v>
      </c>
    </row>
    <row r="33" ht="15.75" customHeight="1">
      <c r="B33" s="36" t="s">
        <v>40</v>
      </c>
      <c r="C33" s="37"/>
      <c r="D33" s="61">
        <v>50000.0</v>
      </c>
      <c r="E33" s="61">
        <v>50000.0</v>
      </c>
      <c r="F33" s="61">
        <v>30000.0</v>
      </c>
      <c r="G33" s="61">
        <v>30000.0</v>
      </c>
      <c r="H33" s="61">
        <v>15000.0</v>
      </c>
      <c r="I33" s="133">
        <v>15000.0</v>
      </c>
    </row>
    <row r="34" ht="15.75" customHeight="1"/>
    <row r="35" ht="15.75" customHeight="1">
      <c r="B35" s="62" t="s">
        <v>41</v>
      </c>
      <c r="C35" s="63"/>
      <c r="D35" s="64">
        <f t="shared" ref="D35:I35" si="21">D51+D63+D75</f>
        <v>0</v>
      </c>
      <c r="E35" s="64">
        <f t="shared" si="21"/>
        <v>85</v>
      </c>
      <c r="F35" s="64">
        <f t="shared" si="21"/>
        <v>122.25</v>
      </c>
      <c r="G35" s="64">
        <f t="shared" si="21"/>
        <v>212.1</v>
      </c>
      <c r="H35" s="64">
        <f t="shared" si="21"/>
        <v>444.825</v>
      </c>
      <c r="I35" s="64">
        <f t="shared" si="21"/>
        <v>936.05625</v>
      </c>
      <c r="J35" s="65"/>
    </row>
    <row r="36" ht="15.75" customHeight="1">
      <c r="B36" s="66"/>
      <c r="C36" s="66"/>
      <c r="D36" s="66"/>
      <c r="E36" s="66"/>
      <c r="F36" s="66"/>
      <c r="G36" s="66"/>
      <c r="H36" s="66"/>
      <c r="I36" s="66"/>
    </row>
    <row r="37" ht="15.75" customHeight="1">
      <c r="B37" s="67" t="s">
        <v>42</v>
      </c>
      <c r="C37" s="68"/>
      <c r="D37" s="69">
        <v>0.07</v>
      </c>
      <c r="E37" s="69">
        <v>0.07</v>
      </c>
      <c r="F37" s="69">
        <v>0.07</v>
      </c>
      <c r="G37" s="69">
        <v>0.07</v>
      </c>
      <c r="H37" s="69">
        <v>0.07</v>
      </c>
      <c r="I37" s="134">
        <v>0.07</v>
      </c>
    </row>
    <row r="38" ht="15.75" customHeight="1">
      <c r="B38" s="70" t="s">
        <v>43</v>
      </c>
      <c r="C38" s="71"/>
      <c r="D38" s="72">
        <v>0.35</v>
      </c>
      <c r="E38" s="72">
        <v>0.35</v>
      </c>
      <c r="F38" s="72">
        <v>0.35</v>
      </c>
      <c r="G38" s="72">
        <v>0.35</v>
      </c>
      <c r="H38" s="72">
        <v>0.35</v>
      </c>
      <c r="I38" s="135">
        <v>0.35</v>
      </c>
    </row>
    <row r="39" ht="15.75" customHeight="1">
      <c r="B39" s="70" t="s">
        <v>33</v>
      </c>
      <c r="C39" s="71"/>
      <c r="D39" s="72">
        <v>0.15</v>
      </c>
      <c r="E39" s="72">
        <v>0.15</v>
      </c>
      <c r="F39" s="72">
        <v>0.15</v>
      </c>
      <c r="G39" s="72">
        <v>0.15</v>
      </c>
      <c r="H39" s="72">
        <v>0.15</v>
      </c>
      <c r="I39" s="135">
        <v>0.15</v>
      </c>
    </row>
    <row r="40" ht="15.75" customHeight="1">
      <c r="B40" s="73" t="s">
        <v>37</v>
      </c>
      <c r="C40" s="74"/>
      <c r="D40" s="75">
        <v>0.21</v>
      </c>
      <c r="E40" s="75">
        <v>0.21</v>
      </c>
      <c r="F40" s="75">
        <v>0.21</v>
      </c>
      <c r="G40" s="75">
        <v>0.21</v>
      </c>
      <c r="H40" s="75">
        <v>0.21</v>
      </c>
      <c r="I40" s="136">
        <v>0.21</v>
      </c>
    </row>
    <row r="41" ht="15.75" customHeight="1"/>
    <row r="42" ht="15.75" customHeight="1">
      <c r="B42" s="76" t="s">
        <v>44</v>
      </c>
      <c r="C42" s="77" t="s">
        <v>4</v>
      </c>
      <c r="D42" s="7"/>
      <c r="E42" s="7"/>
      <c r="F42" s="7"/>
      <c r="G42" s="7"/>
      <c r="H42" s="7"/>
      <c r="I42" s="8"/>
    </row>
    <row r="43" ht="15.75" customHeight="1">
      <c r="B43" s="78" t="s">
        <v>45</v>
      </c>
      <c r="C43" s="79">
        <v>0.0</v>
      </c>
      <c r="D43" s="79">
        <v>1.0</v>
      </c>
      <c r="E43" s="79">
        <v>2.0</v>
      </c>
      <c r="F43" s="79">
        <v>3.0</v>
      </c>
      <c r="G43" s="79">
        <v>4.0</v>
      </c>
      <c r="H43" s="79">
        <v>5.0</v>
      </c>
      <c r="I43" s="137">
        <v>6.0</v>
      </c>
    </row>
    <row r="44" ht="15.75" customHeight="1">
      <c r="B44" s="81" t="s">
        <v>103</v>
      </c>
      <c r="C44" s="82"/>
      <c r="D44" s="83">
        <v>0.0</v>
      </c>
      <c r="E44" s="83">
        <v>0.00467653936087295</v>
      </c>
      <c r="F44" s="83">
        <v>0.0109898674980514</v>
      </c>
      <c r="G44" s="83">
        <v>0.019512860483242404</v>
      </c>
      <c r="H44" s="83">
        <v>0.03314964925954794</v>
      </c>
      <c r="I44" s="138">
        <v>0.060423226812159</v>
      </c>
    </row>
    <row r="45" ht="15.75" customHeight="1">
      <c r="B45" s="81" t="s">
        <v>47</v>
      </c>
      <c r="C45" s="82"/>
      <c r="D45" s="83">
        <v>0.0</v>
      </c>
      <c r="E45" s="83">
        <v>0.25</v>
      </c>
      <c r="F45" s="83">
        <v>0.35</v>
      </c>
      <c r="G45" s="83">
        <v>0.35</v>
      </c>
      <c r="H45" s="83">
        <v>0.6</v>
      </c>
      <c r="I45" s="138">
        <v>1.0</v>
      </c>
      <c r="J45" s="138">
        <v>1.0</v>
      </c>
    </row>
    <row r="46" ht="15.75" customHeight="1">
      <c r="B46" s="81" t="s">
        <v>48</v>
      </c>
      <c r="C46" s="82"/>
      <c r="D46" s="139">
        <f t="shared" ref="D46:I46" si="22">D32</f>
        <v>80000</v>
      </c>
      <c r="E46" s="139">
        <f t="shared" si="22"/>
        <v>80000</v>
      </c>
      <c r="F46" s="139">
        <f t="shared" si="22"/>
        <v>50000</v>
      </c>
      <c r="G46" s="139">
        <f t="shared" si="22"/>
        <v>50000</v>
      </c>
      <c r="H46" s="139">
        <f t="shared" si="22"/>
        <v>35000</v>
      </c>
      <c r="I46" s="140">
        <f t="shared" si="22"/>
        <v>35000</v>
      </c>
    </row>
    <row r="47" ht="15.75" customHeight="1">
      <c r="B47" s="81" t="s">
        <v>49</v>
      </c>
      <c r="C47" s="82"/>
      <c r="D47" s="86">
        <v>0.0</v>
      </c>
      <c r="E47" s="86">
        <v>0.0</v>
      </c>
      <c r="F47" s="86">
        <v>0.0</v>
      </c>
      <c r="G47" s="86">
        <v>0.0</v>
      </c>
      <c r="H47" s="86">
        <v>0.0</v>
      </c>
      <c r="I47" s="108">
        <v>0.0</v>
      </c>
    </row>
    <row r="48" ht="15.75" customHeight="1">
      <c r="B48" s="81" t="s">
        <v>50</v>
      </c>
      <c r="C48" s="82"/>
      <c r="D48" s="139">
        <f t="shared" ref="D48:I48" si="23">D33</f>
        <v>50000</v>
      </c>
      <c r="E48" s="139">
        <f t="shared" si="23"/>
        <v>50000</v>
      </c>
      <c r="F48" s="139">
        <f t="shared" si="23"/>
        <v>30000</v>
      </c>
      <c r="G48" s="139">
        <f t="shared" si="23"/>
        <v>30000</v>
      </c>
      <c r="H48" s="139">
        <f t="shared" si="23"/>
        <v>15000</v>
      </c>
      <c r="I48" s="140">
        <f t="shared" si="23"/>
        <v>15000</v>
      </c>
    </row>
    <row r="49" ht="15.75" customHeight="1">
      <c r="B49" s="81" t="s">
        <v>51</v>
      </c>
      <c r="C49" s="82"/>
      <c r="D49" s="86">
        <v>0.0</v>
      </c>
      <c r="E49" s="86">
        <v>0.0</v>
      </c>
      <c r="F49" s="86">
        <v>0.0</v>
      </c>
      <c r="G49" s="86">
        <v>0.0</v>
      </c>
      <c r="H49" s="86">
        <v>0.0</v>
      </c>
      <c r="I49" s="108">
        <v>0.0</v>
      </c>
    </row>
    <row r="50" ht="15.75" customHeight="1">
      <c r="B50" s="81" t="s">
        <v>52</v>
      </c>
      <c r="C50" s="82"/>
      <c r="D50" s="83">
        <v>0.5</v>
      </c>
      <c r="E50" s="83">
        <v>0.5</v>
      </c>
      <c r="F50" s="83">
        <v>0.6</v>
      </c>
      <c r="G50" s="83">
        <v>0.6</v>
      </c>
      <c r="H50" s="83">
        <v>0.7</v>
      </c>
      <c r="I50" s="138">
        <v>0.7</v>
      </c>
    </row>
    <row r="51" ht="15.75" customHeight="1">
      <c r="B51" s="81" t="s">
        <v>53</v>
      </c>
      <c r="C51" s="82"/>
      <c r="D51" s="141">
        <f t="shared" ref="D51:I51" si="24">D52*D53</f>
        <v>0</v>
      </c>
      <c r="E51" s="141">
        <f t="shared" si="24"/>
        <v>30</v>
      </c>
      <c r="F51" s="141">
        <f t="shared" si="24"/>
        <v>40.5</v>
      </c>
      <c r="G51" s="141">
        <f t="shared" si="24"/>
        <v>64.8</v>
      </c>
      <c r="H51" s="141">
        <f t="shared" si="24"/>
        <v>129.6</v>
      </c>
      <c r="I51" s="142">
        <f t="shared" si="24"/>
        <v>259.2</v>
      </c>
    </row>
    <row r="52" ht="15.75" customHeight="1">
      <c r="B52" s="81" t="s">
        <v>54</v>
      </c>
      <c r="C52" s="82"/>
      <c r="D52" s="141">
        <v>2.0</v>
      </c>
      <c r="E52" s="141">
        <v>2.0</v>
      </c>
      <c r="F52" s="141">
        <v>2.0</v>
      </c>
      <c r="G52" s="141">
        <v>2.0</v>
      </c>
      <c r="H52" s="141">
        <v>2.0</v>
      </c>
      <c r="I52" s="142">
        <v>2.0</v>
      </c>
    </row>
    <row r="53" ht="15.75" customHeight="1">
      <c r="B53" s="81" t="s">
        <v>55</v>
      </c>
      <c r="C53" s="82"/>
      <c r="D53" s="141">
        <v>0.0</v>
      </c>
      <c r="E53" s="100">
        <v>15.0</v>
      </c>
      <c r="F53" s="141">
        <f>E53*(1+F45)</f>
        <v>20.25</v>
      </c>
      <c r="G53" s="141">
        <f t="shared" ref="G53:I53" si="25">F53*(1+H45)</f>
        <v>32.4</v>
      </c>
      <c r="H53" s="141">
        <f t="shared" si="25"/>
        <v>64.8</v>
      </c>
      <c r="I53" s="142">
        <f t="shared" si="25"/>
        <v>129.6</v>
      </c>
    </row>
    <row r="54" ht="15.75" customHeight="1">
      <c r="B54" s="81" t="s">
        <v>56</v>
      </c>
      <c r="C54" s="82"/>
      <c r="D54" s="141">
        <f>D53</f>
        <v>0</v>
      </c>
      <c r="E54" s="141">
        <f t="shared" ref="E54:I54" si="26">D54+E53</f>
        <v>15</v>
      </c>
      <c r="F54" s="141">
        <f t="shared" si="26"/>
        <v>35.25</v>
      </c>
      <c r="G54" s="141">
        <f t="shared" si="26"/>
        <v>67.65</v>
      </c>
      <c r="H54" s="141">
        <f t="shared" si="26"/>
        <v>132.45</v>
      </c>
      <c r="I54" s="142">
        <f t="shared" si="26"/>
        <v>262.05</v>
      </c>
    </row>
    <row r="55" ht="15.75" customHeight="1">
      <c r="B55" s="12"/>
      <c r="I55" s="101"/>
    </row>
    <row r="56" ht="15.75" customHeight="1">
      <c r="B56" s="26" t="s">
        <v>104</v>
      </c>
      <c r="C56" s="27"/>
      <c r="D56" s="93">
        <v>0.0</v>
      </c>
      <c r="E56" s="93">
        <v>0.0025501530091805507</v>
      </c>
      <c r="F56" s="93">
        <v>0.00599285957157429</v>
      </c>
      <c r="G56" s="93">
        <v>0.01064051343080585</v>
      </c>
      <c r="H56" s="93">
        <v>0.0180767596055763</v>
      </c>
      <c r="I56" s="143">
        <v>0.03294925195511731</v>
      </c>
    </row>
    <row r="57" ht="15.75" customHeight="1">
      <c r="B57" s="26" t="s">
        <v>47</v>
      </c>
      <c r="C57" s="27"/>
      <c r="D57" s="93">
        <v>0.0</v>
      </c>
      <c r="E57" s="93">
        <v>0.25</v>
      </c>
      <c r="F57" s="93">
        <v>0.35</v>
      </c>
      <c r="G57" s="93">
        <v>0.35</v>
      </c>
      <c r="H57" s="93">
        <v>0.6</v>
      </c>
      <c r="I57" s="143">
        <v>1.0</v>
      </c>
      <c r="J57" s="143">
        <v>1.0</v>
      </c>
    </row>
    <row r="58" ht="15.75" customHeight="1">
      <c r="B58" s="26" t="s">
        <v>58</v>
      </c>
      <c r="C58" s="27"/>
      <c r="D58" s="94">
        <f t="shared" ref="D58:I58" si="27">D32</f>
        <v>80000</v>
      </c>
      <c r="E58" s="94">
        <f t="shared" si="27"/>
        <v>80000</v>
      </c>
      <c r="F58" s="94">
        <f t="shared" si="27"/>
        <v>50000</v>
      </c>
      <c r="G58" s="94">
        <f t="shared" si="27"/>
        <v>50000</v>
      </c>
      <c r="H58" s="94">
        <f t="shared" si="27"/>
        <v>35000</v>
      </c>
      <c r="I58" s="144">
        <f t="shared" si="27"/>
        <v>35000</v>
      </c>
    </row>
    <row r="59" ht="15.75" customHeight="1">
      <c r="B59" s="26" t="s">
        <v>49</v>
      </c>
      <c r="C59" s="27"/>
      <c r="D59" s="86">
        <v>0.0</v>
      </c>
      <c r="E59" s="86">
        <v>0.0</v>
      </c>
      <c r="F59" s="86">
        <v>0.0</v>
      </c>
      <c r="G59" s="86">
        <v>0.0</v>
      </c>
      <c r="H59" s="86">
        <v>0.0</v>
      </c>
      <c r="I59" s="108">
        <v>0.0</v>
      </c>
    </row>
    <row r="60" ht="15.75" customHeight="1">
      <c r="B60" s="26" t="s">
        <v>59</v>
      </c>
      <c r="C60" s="27"/>
      <c r="D60" s="94">
        <f t="shared" ref="D60:I60" si="28">D33</f>
        <v>50000</v>
      </c>
      <c r="E60" s="94">
        <f t="shared" si="28"/>
        <v>50000</v>
      </c>
      <c r="F60" s="94">
        <f t="shared" si="28"/>
        <v>30000</v>
      </c>
      <c r="G60" s="94">
        <f t="shared" si="28"/>
        <v>30000</v>
      </c>
      <c r="H60" s="94">
        <f t="shared" si="28"/>
        <v>15000</v>
      </c>
      <c r="I60" s="144">
        <f t="shared" si="28"/>
        <v>15000</v>
      </c>
    </row>
    <row r="61" ht="15.75" customHeight="1">
      <c r="B61" s="26" t="s">
        <v>51</v>
      </c>
      <c r="C61" s="27"/>
      <c r="D61" s="86">
        <v>0.0</v>
      </c>
      <c r="E61" s="86">
        <v>0.0</v>
      </c>
      <c r="F61" s="86">
        <v>0.0</v>
      </c>
      <c r="G61" s="86">
        <v>0.0</v>
      </c>
      <c r="H61" s="86">
        <v>0.0</v>
      </c>
      <c r="I61" s="108">
        <v>0.0</v>
      </c>
    </row>
    <row r="62" ht="15.75" customHeight="1">
      <c r="B62" s="26" t="s">
        <v>60</v>
      </c>
      <c r="C62" s="27"/>
      <c r="D62" s="93">
        <v>0.5</v>
      </c>
      <c r="E62" s="93">
        <v>0.5</v>
      </c>
      <c r="F62" s="93">
        <v>0.6</v>
      </c>
      <c r="G62" s="93">
        <v>0.6</v>
      </c>
      <c r="H62" s="93">
        <v>0.7</v>
      </c>
      <c r="I62" s="143">
        <v>0.7</v>
      </c>
    </row>
    <row r="63" ht="15.75" customHeight="1">
      <c r="B63" s="26" t="s">
        <v>61</v>
      </c>
      <c r="C63" s="27"/>
      <c r="D63" s="97">
        <f t="shared" ref="D63:I63" si="29">D64*D65</f>
        <v>0</v>
      </c>
      <c r="E63" s="97">
        <f t="shared" si="29"/>
        <v>30</v>
      </c>
      <c r="F63" s="97">
        <f t="shared" si="29"/>
        <v>40.5</v>
      </c>
      <c r="G63" s="97">
        <f t="shared" si="29"/>
        <v>64.8</v>
      </c>
      <c r="H63" s="97">
        <f t="shared" si="29"/>
        <v>129.6</v>
      </c>
      <c r="I63" s="145">
        <f t="shared" si="29"/>
        <v>259.2</v>
      </c>
    </row>
    <row r="64" ht="15.75" customHeight="1">
      <c r="B64" s="26" t="s">
        <v>62</v>
      </c>
      <c r="C64" s="27"/>
      <c r="D64" s="97">
        <v>2.0</v>
      </c>
      <c r="E64" s="97">
        <v>2.0</v>
      </c>
      <c r="F64" s="97">
        <v>2.0</v>
      </c>
      <c r="G64" s="97">
        <v>2.0</v>
      </c>
      <c r="H64" s="97">
        <v>2.0</v>
      </c>
      <c r="I64" s="145">
        <v>2.0</v>
      </c>
    </row>
    <row r="65" ht="15.75" customHeight="1">
      <c r="B65" s="26" t="s">
        <v>63</v>
      </c>
      <c r="C65" s="27"/>
      <c r="D65" s="97">
        <v>0.0</v>
      </c>
      <c r="E65" s="100">
        <v>15.0</v>
      </c>
      <c r="F65" s="97">
        <f t="shared" ref="F65:I65" si="30">E65*(1+G57)</f>
        <v>20.25</v>
      </c>
      <c r="G65" s="97">
        <f t="shared" si="30"/>
        <v>32.4</v>
      </c>
      <c r="H65" s="97">
        <f t="shared" si="30"/>
        <v>64.8</v>
      </c>
      <c r="I65" s="145">
        <f t="shared" si="30"/>
        <v>129.6</v>
      </c>
    </row>
    <row r="66" ht="15.75" customHeight="1">
      <c r="B66" s="26" t="s">
        <v>64</v>
      </c>
      <c r="C66" s="27"/>
      <c r="D66" s="97">
        <f>D65</f>
        <v>0</v>
      </c>
      <c r="E66" s="97">
        <f t="shared" ref="E66:I66" si="31">D66+E65</f>
        <v>15</v>
      </c>
      <c r="F66" s="97">
        <f t="shared" si="31"/>
        <v>35.25</v>
      </c>
      <c r="G66" s="97">
        <f t="shared" si="31"/>
        <v>67.65</v>
      </c>
      <c r="H66" s="97">
        <f t="shared" si="31"/>
        <v>132.45</v>
      </c>
      <c r="I66" s="145">
        <f t="shared" si="31"/>
        <v>262.05</v>
      </c>
    </row>
    <row r="67" ht="15.75" customHeight="1">
      <c r="B67" s="12"/>
      <c r="I67" s="101"/>
    </row>
    <row r="68" ht="15.75" customHeight="1">
      <c r="B68" s="102" t="s">
        <v>65</v>
      </c>
      <c r="C68" s="103"/>
      <c r="D68" s="104">
        <v>0.0</v>
      </c>
      <c r="E68" s="104">
        <v>0.001982710762154017</v>
      </c>
      <c r="F68" s="104">
        <v>0.005254183519708145</v>
      </c>
      <c r="G68" s="104">
        <v>0.010652113569672456</v>
      </c>
      <c r="H68" s="104">
        <v>0.021447973669601078</v>
      </c>
      <c r="I68" s="105">
        <v>0.04573865889444048</v>
      </c>
    </row>
    <row r="69" ht="15.75" customHeight="1">
      <c r="B69" s="102" t="s">
        <v>47</v>
      </c>
      <c r="C69" s="103"/>
      <c r="D69" s="104">
        <v>0.0</v>
      </c>
      <c r="E69" s="104">
        <v>0.5</v>
      </c>
      <c r="F69" s="104">
        <v>0.65</v>
      </c>
      <c r="G69" s="104">
        <v>0.65</v>
      </c>
      <c r="H69" s="104">
        <v>1.0</v>
      </c>
      <c r="I69" s="105">
        <v>1.25</v>
      </c>
      <c r="J69" s="105">
        <v>1.25</v>
      </c>
    </row>
    <row r="70" ht="15.75" customHeight="1">
      <c r="B70" s="102" t="s">
        <v>66</v>
      </c>
      <c r="C70" s="103"/>
      <c r="D70" s="106">
        <f t="shared" ref="D70:I70" si="32">D32</f>
        <v>80000</v>
      </c>
      <c r="E70" s="106">
        <f t="shared" si="32"/>
        <v>80000</v>
      </c>
      <c r="F70" s="106">
        <f t="shared" si="32"/>
        <v>50000</v>
      </c>
      <c r="G70" s="106">
        <f t="shared" si="32"/>
        <v>50000</v>
      </c>
      <c r="H70" s="106">
        <f t="shared" si="32"/>
        <v>35000</v>
      </c>
      <c r="I70" s="107">
        <f t="shared" si="32"/>
        <v>35000</v>
      </c>
    </row>
    <row r="71" ht="15.75" customHeight="1">
      <c r="B71" s="102" t="s">
        <v>49</v>
      </c>
      <c r="C71" s="103"/>
      <c r="D71" s="86">
        <v>0.0</v>
      </c>
      <c r="E71" s="86">
        <v>0.0</v>
      </c>
      <c r="F71" s="86">
        <v>0.0</v>
      </c>
      <c r="G71" s="86">
        <v>0.0</v>
      </c>
      <c r="H71" s="86">
        <v>0.0</v>
      </c>
      <c r="I71" s="108">
        <v>0.0</v>
      </c>
    </row>
    <row r="72" ht="15.75" customHeight="1">
      <c r="B72" s="102" t="s">
        <v>67</v>
      </c>
      <c r="C72" s="103"/>
      <c r="D72" s="106">
        <f t="shared" ref="D72:I72" si="33">D33</f>
        <v>50000</v>
      </c>
      <c r="E72" s="106">
        <f t="shared" si="33"/>
        <v>50000</v>
      </c>
      <c r="F72" s="106">
        <f t="shared" si="33"/>
        <v>30000</v>
      </c>
      <c r="G72" s="106">
        <f t="shared" si="33"/>
        <v>30000</v>
      </c>
      <c r="H72" s="106">
        <f t="shared" si="33"/>
        <v>15000</v>
      </c>
      <c r="I72" s="107">
        <f t="shared" si="33"/>
        <v>15000</v>
      </c>
    </row>
    <row r="73" ht="15.75" customHeight="1">
      <c r="B73" s="102" t="s">
        <v>51</v>
      </c>
      <c r="C73" s="103"/>
      <c r="D73" s="86">
        <v>0.0</v>
      </c>
      <c r="E73" s="86">
        <v>0.0</v>
      </c>
      <c r="F73" s="86">
        <v>0.0</v>
      </c>
      <c r="G73" s="86">
        <v>0.0</v>
      </c>
      <c r="H73" s="86">
        <v>0.0</v>
      </c>
      <c r="I73" s="108">
        <v>0.0</v>
      </c>
    </row>
    <row r="74" ht="15.75" customHeight="1">
      <c r="B74" s="102" t="s">
        <v>68</v>
      </c>
      <c r="C74" s="103"/>
      <c r="D74" s="104">
        <v>0.5</v>
      </c>
      <c r="E74" s="104">
        <v>0.5</v>
      </c>
      <c r="F74" s="104">
        <v>0.6</v>
      </c>
      <c r="G74" s="104">
        <v>0.6</v>
      </c>
      <c r="H74" s="104">
        <v>0.7</v>
      </c>
      <c r="I74" s="105">
        <v>0.7</v>
      </c>
    </row>
    <row r="75" ht="15.75" customHeight="1">
      <c r="B75" s="102" t="s">
        <v>69</v>
      </c>
      <c r="C75" s="103"/>
      <c r="D75" s="109">
        <f t="shared" ref="D75:I75" si="34">D76*D77</f>
        <v>0</v>
      </c>
      <c r="E75" s="109">
        <f t="shared" si="34"/>
        <v>25</v>
      </c>
      <c r="F75" s="109">
        <f t="shared" si="34"/>
        <v>41.25</v>
      </c>
      <c r="G75" s="109">
        <f t="shared" si="34"/>
        <v>82.5</v>
      </c>
      <c r="H75" s="109">
        <f t="shared" si="34"/>
        <v>185.625</v>
      </c>
      <c r="I75" s="110">
        <f t="shared" si="34"/>
        <v>417.65625</v>
      </c>
    </row>
    <row r="76" ht="15.75" customHeight="1">
      <c r="B76" s="102" t="s">
        <v>70</v>
      </c>
      <c r="C76" s="103"/>
      <c r="D76" s="109">
        <v>1.0</v>
      </c>
      <c r="E76" s="109">
        <v>1.0</v>
      </c>
      <c r="F76" s="109">
        <v>1.0</v>
      </c>
      <c r="G76" s="109">
        <v>1.0</v>
      </c>
      <c r="H76" s="109">
        <v>1.0</v>
      </c>
      <c r="I76" s="110">
        <v>1.0</v>
      </c>
    </row>
    <row r="77" ht="15.75" customHeight="1">
      <c r="B77" s="102" t="s">
        <v>71</v>
      </c>
      <c r="C77" s="103"/>
      <c r="D77" s="109">
        <v>0.0</v>
      </c>
      <c r="E77" s="100">
        <v>25.0</v>
      </c>
      <c r="F77" s="109">
        <f t="shared" ref="F77:I77" si="35">E77*(1+G69)</f>
        <v>41.25</v>
      </c>
      <c r="G77" s="109">
        <f t="shared" si="35"/>
        <v>82.5</v>
      </c>
      <c r="H77" s="109">
        <f t="shared" si="35"/>
        <v>185.625</v>
      </c>
      <c r="I77" s="110">
        <f t="shared" si="35"/>
        <v>417.65625</v>
      </c>
    </row>
    <row r="78" ht="15.75" customHeight="1">
      <c r="B78" s="111" t="s">
        <v>72</v>
      </c>
      <c r="C78" s="112"/>
      <c r="D78" s="113">
        <f>D77</f>
        <v>0</v>
      </c>
      <c r="E78" s="113">
        <f t="shared" ref="E78:I78" si="36">D78+E77</f>
        <v>25</v>
      </c>
      <c r="F78" s="113">
        <f t="shared" si="36"/>
        <v>66.25</v>
      </c>
      <c r="G78" s="113">
        <f t="shared" si="36"/>
        <v>148.75</v>
      </c>
      <c r="H78" s="113">
        <f t="shared" si="36"/>
        <v>334.375</v>
      </c>
      <c r="I78" s="114">
        <f t="shared" si="36"/>
        <v>752.03125</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D5:I5"/>
    <mergeCell ref="K7:L7"/>
    <mergeCell ref="C42:I4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2022-04-11T03:31:46Z</dcterms:created>
  <dc:creator>Greg Zikos</dc:creator>
</cp:coreProperties>
</file>